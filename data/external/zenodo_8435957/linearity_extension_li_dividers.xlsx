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jkh\_PAPERS\ISH\Ish 2023\FuEn LI comparison\"/>
    </mc:Choice>
  </mc:AlternateContent>
  <xr:revisionPtr revIDLastSave="0" documentId="13_ncr:1_{68DE1310-05D4-4617-B7CF-1FE69B0AC9F8}" xr6:coauthVersionLast="47" xr6:coauthVersionMax="47" xr10:uidLastSave="{00000000-0000-0000-0000-000000000000}"/>
  <bookViews>
    <workbookView xWindow="28680" yWindow="-120" windowWidth="29040" windowHeight="15840" xr2:uid="{A9512BE5-C479-4CC6-AF45-B48A7D51EB12}"/>
  </bookViews>
  <sheets>
    <sheet name="Info" sheetId="2" r:id="rId1"/>
    <sheet name="Fig. 3" sheetId="1" r:id="rId2"/>
    <sheet name="Fig. 4" sheetId="3" r:id="rId3"/>
    <sheet name="Fig. 6" sheetId="8" r:id="rId4"/>
    <sheet name="Fig. 7" sheetId="12" r:id="rId5"/>
    <sheet name="Fig. 8" sheetId="10" r:id="rId6"/>
    <sheet name="Fig. 9" sheetId="11" r:id="rId7"/>
  </sheets>
  <definedNames>
    <definedName name="_Hlk129623421" localSheetId="1">'Fig. 3'!$B$2</definedName>
    <definedName name="_Ref129622898" localSheetId="5">'Fig. 8'!$B$2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 r="C14" i="1"/>
</calcChain>
</file>

<file path=xl/sharedStrings.xml><?xml version="1.0" encoding="utf-8"?>
<sst xmlns="http://schemas.openxmlformats.org/spreadsheetml/2006/main" count="98" uniqueCount="53">
  <si>
    <t>Ut error</t>
  </si>
  <si>
    <t>T1 error</t>
  </si>
  <si>
    <t>T2 error</t>
  </si>
  <si>
    <t>Beta error [%]</t>
  </si>
  <si>
    <t>R500</t>
  </si>
  <si>
    <t>R600</t>
  </si>
  <si>
    <t>R1200A</t>
  </si>
  <si>
    <t>R1200B</t>
  </si>
  <si>
    <t>R2000</t>
  </si>
  <si>
    <t>RC1000</t>
  </si>
  <si>
    <t>RCR1200</t>
  </si>
  <si>
    <t>RC3600</t>
  </si>
  <si>
    <t>RC4000</t>
  </si>
  <si>
    <t>POSITIVE</t>
  </si>
  <si>
    <t>NEGATIVE</t>
  </si>
  <si>
    <t>System</t>
  </si>
  <si>
    <t>Time [s]</t>
  </si>
  <si>
    <t>Blue [kV]</t>
  </si>
  <si>
    <t>Orange [kV]</t>
  </si>
  <si>
    <t>Grey [kV]</t>
  </si>
  <si>
    <t>Yellow [kV]</t>
  </si>
  <si>
    <t>Ut (kV)</t>
  </si>
  <si>
    <t>2400 (16s)</t>
  </si>
  <si>
    <t>2400 (20s)</t>
  </si>
  <si>
    <t>-2400 (16s)</t>
  </si>
  <si>
    <t>-2400 (20s)</t>
  </si>
  <si>
    <t>RC1200</t>
  </si>
  <si>
    <t>R1000</t>
  </si>
  <si>
    <t>Ut (RC3600) / Ut (RC4000)-1</t>
  </si>
  <si>
    <t xml:space="preserve">Figure 4 - Typical stabilization curves of the generator charging voltage. Four applications at 130 kV (top) and 165 kV charging. Generator was manually triggered at 0 s. </t>
  </si>
  <si>
    <t>165 kV</t>
  </si>
  <si>
    <t>130 kV</t>
  </si>
  <si>
    <t>Figure 6 - Change of the ratio between the measured test voltage and the charging voltage. Results are normalized to 400 kV reading; horizontal scale shows the test voltage.</t>
  </si>
  <si>
    <t>Linearity Extension of UHV Class Lightning Impulse Dividers up to 3000 kV</t>
  </si>
  <si>
    <r>
      <t>Jari Hällström</t>
    </r>
    <r>
      <rPr>
        <b/>
        <i/>
        <vertAlign val="superscript"/>
        <sz val="12"/>
        <color theme="1"/>
        <rFont val="Times New Roman"/>
        <family val="1"/>
      </rPr>
      <t>1*</t>
    </r>
    <r>
      <rPr>
        <b/>
        <i/>
        <sz val="12"/>
        <color theme="1"/>
        <rFont val="Times New Roman"/>
        <family val="1"/>
      </rPr>
      <t>, Alf-Peter Elg</t>
    </r>
    <r>
      <rPr>
        <b/>
        <i/>
        <vertAlign val="superscript"/>
        <sz val="12"/>
        <color theme="1"/>
        <rFont val="Times New Roman"/>
        <family val="1"/>
      </rPr>
      <t>2</t>
    </r>
    <r>
      <rPr>
        <b/>
        <i/>
        <sz val="12"/>
        <color theme="1"/>
        <rFont val="Times New Roman"/>
        <family val="1"/>
      </rPr>
      <t>, Tatu Nieminen</t>
    </r>
    <r>
      <rPr>
        <b/>
        <i/>
        <vertAlign val="superscript"/>
        <sz val="12"/>
        <color theme="1"/>
        <rFont val="Times New Roman"/>
        <family val="1"/>
      </rPr>
      <t>2</t>
    </r>
    <r>
      <rPr>
        <b/>
        <i/>
        <sz val="12"/>
        <color theme="1"/>
        <rFont val="Times New Roman"/>
        <family val="1"/>
      </rPr>
      <t>, Jussi Havunen</t>
    </r>
    <r>
      <rPr>
        <b/>
        <i/>
        <vertAlign val="superscript"/>
        <sz val="12"/>
        <color theme="1"/>
        <rFont val="Times New Roman"/>
        <family val="1"/>
      </rPr>
      <t>1</t>
    </r>
    <r>
      <rPr>
        <b/>
        <i/>
        <sz val="12"/>
        <color theme="1"/>
        <rFont val="Times New Roman"/>
        <family val="1"/>
      </rPr>
      <t>, Wei Zhao</t>
    </r>
    <r>
      <rPr>
        <b/>
        <i/>
        <vertAlign val="superscript"/>
        <sz val="12"/>
        <color theme="1"/>
        <rFont val="Times New Roman"/>
        <family val="1"/>
      </rPr>
      <t>3</t>
    </r>
    <r>
      <rPr>
        <b/>
        <i/>
        <sz val="12"/>
        <color theme="1"/>
        <rFont val="Times New Roman"/>
        <family val="1"/>
      </rPr>
      <t>,</t>
    </r>
  </si>
  <si>
    <r>
      <t>Imke Splinter</t>
    </r>
    <r>
      <rPr>
        <b/>
        <i/>
        <vertAlign val="superscript"/>
        <sz val="12"/>
        <color theme="1"/>
        <rFont val="Times New Roman"/>
        <family val="1"/>
      </rPr>
      <t>3</t>
    </r>
    <r>
      <rPr>
        <b/>
        <i/>
        <sz val="12"/>
        <color theme="1"/>
        <rFont val="Times New Roman"/>
        <family val="1"/>
      </rPr>
      <t>, Gert Rietveld</t>
    </r>
    <r>
      <rPr>
        <b/>
        <i/>
        <vertAlign val="superscript"/>
        <sz val="12"/>
        <color theme="1"/>
        <rFont val="Times New Roman"/>
        <family val="1"/>
      </rPr>
      <t>3</t>
    </r>
    <r>
      <rPr>
        <b/>
        <i/>
        <sz val="12"/>
        <color theme="1"/>
        <rFont val="Times New Roman"/>
        <family val="1"/>
      </rPr>
      <t>, Geert Kamphuis</t>
    </r>
    <r>
      <rPr>
        <b/>
        <i/>
        <vertAlign val="superscript"/>
        <sz val="12"/>
        <color theme="1"/>
        <rFont val="Times New Roman"/>
        <family val="1"/>
      </rPr>
      <t>4</t>
    </r>
    <r>
      <rPr>
        <b/>
        <i/>
        <sz val="12"/>
        <color theme="1"/>
        <rFont val="Times New Roman"/>
        <family val="1"/>
      </rPr>
      <t>, Wim Termorshuizen</t>
    </r>
    <r>
      <rPr>
        <b/>
        <i/>
        <vertAlign val="superscript"/>
        <sz val="12"/>
        <color theme="1"/>
        <rFont val="Times New Roman"/>
        <family val="1"/>
      </rPr>
      <t>4</t>
    </r>
    <r>
      <rPr>
        <b/>
        <i/>
        <sz val="12"/>
        <color theme="1"/>
        <rFont val="Times New Roman"/>
        <family val="1"/>
      </rPr>
      <t>, Paul van Nes</t>
    </r>
    <r>
      <rPr>
        <b/>
        <i/>
        <vertAlign val="superscript"/>
        <sz val="12"/>
        <color theme="1"/>
        <rFont val="Times New Roman"/>
        <family val="1"/>
      </rPr>
      <t>4</t>
    </r>
    <r>
      <rPr>
        <b/>
        <i/>
        <sz val="12"/>
        <color theme="1"/>
        <rFont val="Times New Roman"/>
        <family val="1"/>
      </rPr>
      <t>,</t>
    </r>
  </si>
  <si>
    <r>
      <t>Kari Lahti</t>
    </r>
    <r>
      <rPr>
        <b/>
        <i/>
        <vertAlign val="superscript"/>
        <sz val="12"/>
        <color theme="1"/>
        <rFont val="Times New Roman"/>
        <family val="1"/>
      </rPr>
      <t>5</t>
    </r>
    <r>
      <rPr>
        <b/>
        <i/>
        <sz val="12"/>
        <color theme="1"/>
        <rFont val="Times New Roman"/>
        <family val="1"/>
      </rPr>
      <t>, Mateusz Kujda</t>
    </r>
    <r>
      <rPr>
        <b/>
        <i/>
        <vertAlign val="superscript"/>
        <sz val="12"/>
        <color theme="1"/>
        <rFont val="Times New Roman"/>
        <family val="1"/>
      </rPr>
      <t>6</t>
    </r>
    <r>
      <rPr>
        <b/>
        <i/>
        <sz val="12"/>
        <color theme="1"/>
        <rFont val="Times New Roman"/>
        <family val="1"/>
      </rPr>
      <t>, Stephan Passon</t>
    </r>
    <r>
      <rPr>
        <b/>
        <i/>
        <vertAlign val="superscript"/>
        <sz val="12"/>
        <color theme="1"/>
        <rFont val="Times New Roman"/>
        <family val="1"/>
      </rPr>
      <t>7</t>
    </r>
    <r>
      <rPr>
        <b/>
        <i/>
        <sz val="12"/>
        <color theme="1"/>
        <rFont val="Times New Roman"/>
        <family val="1"/>
      </rPr>
      <t>, Ahmet Merev</t>
    </r>
    <r>
      <rPr>
        <b/>
        <i/>
        <vertAlign val="superscript"/>
        <sz val="12"/>
        <color theme="1"/>
        <rFont val="Times New Roman"/>
        <family val="1"/>
      </rPr>
      <t>8</t>
    </r>
    <r>
      <rPr>
        <b/>
        <i/>
        <sz val="12"/>
        <color theme="1"/>
        <rFont val="Times New Roman"/>
        <family val="1"/>
      </rPr>
      <t>, Chuansheng Li</t>
    </r>
    <r>
      <rPr>
        <b/>
        <i/>
        <vertAlign val="superscript"/>
        <sz val="12"/>
        <color theme="1"/>
        <rFont val="Times New Roman"/>
        <family val="1"/>
      </rPr>
      <t>9</t>
    </r>
  </si>
  <si>
    <r>
      <t>1</t>
    </r>
    <r>
      <rPr>
        <i/>
        <sz val="10"/>
        <color theme="1"/>
        <rFont val="Times New Roman"/>
        <family val="1"/>
      </rPr>
      <t>VTT Technical Research Centre of Finland Ltd, National Metrology Institute VTT MIKES, Finland</t>
    </r>
  </si>
  <si>
    <r>
      <t>2</t>
    </r>
    <r>
      <rPr>
        <i/>
        <sz val="10"/>
        <color theme="1"/>
        <rFont val="Times New Roman"/>
        <family val="1"/>
      </rPr>
      <t xml:space="preserve">RISE Research Institutes of Sweden, Sweden </t>
    </r>
  </si>
  <si>
    <r>
      <t>3</t>
    </r>
    <r>
      <rPr>
        <i/>
        <sz val="10"/>
        <color theme="1"/>
        <rFont val="Times New Roman"/>
        <family val="1"/>
      </rPr>
      <t>VSL B. V., Netherlands</t>
    </r>
  </si>
  <si>
    <r>
      <t>4</t>
    </r>
    <r>
      <rPr>
        <i/>
        <sz val="10"/>
        <color theme="1"/>
        <rFont val="Times New Roman"/>
        <family val="1"/>
      </rPr>
      <t>Delft University of Technology, Delft, Netherlands</t>
    </r>
  </si>
  <si>
    <r>
      <t>5</t>
    </r>
    <r>
      <rPr>
        <i/>
        <sz val="10"/>
        <color theme="1"/>
        <rFont val="Times New Roman"/>
        <family val="1"/>
      </rPr>
      <t>TAU Tampere University Foundation SR, Finland</t>
    </r>
  </si>
  <si>
    <r>
      <t>6</t>
    </r>
    <r>
      <rPr>
        <i/>
        <sz val="10"/>
        <color theme="1"/>
        <rFont val="Times New Roman"/>
        <family val="1"/>
      </rPr>
      <t>Haefely AG, Basel, Switzerland</t>
    </r>
  </si>
  <si>
    <r>
      <t>7</t>
    </r>
    <r>
      <rPr>
        <i/>
        <sz val="10"/>
        <color theme="1"/>
        <rFont val="Times New Roman"/>
        <family val="1"/>
      </rPr>
      <t>PTB Physikalisch-Technische Bundesanstalt, Germany</t>
    </r>
  </si>
  <si>
    <r>
      <t>8</t>
    </r>
    <r>
      <rPr>
        <i/>
        <sz val="10"/>
        <color theme="1"/>
        <rFont val="Times New Roman"/>
        <family val="1"/>
      </rPr>
      <t>TUBITAK Ulusal Metroloji Enstitüsü (UME), Gebze, Kocaeli, Türkiye</t>
    </r>
  </si>
  <si>
    <r>
      <t>9</t>
    </r>
    <r>
      <rPr>
        <i/>
        <sz val="10"/>
        <color theme="1"/>
        <rFont val="Times New Roman"/>
        <family val="1"/>
      </rPr>
      <t>NIM National Institute of Metrology, China</t>
    </r>
  </si>
  <si>
    <t>*jari.hallstrom@vtt.fi</t>
  </si>
  <si>
    <t>This dataset contains the numerical values of the data used for plotting the figures in paper published in the 23rd International Symposium on High Voltage Engineering (ISH 2023), Glasgow, Scotland, UK, from 28 August 2023 to 1 September 2023.</t>
  </si>
  <si>
    <r>
      <t xml:space="preserve">Figure 8 - Change of </t>
    </r>
    <r>
      <rPr>
        <i/>
        <sz val="11"/>
        <color theme="1"/>
        <rFont val="Calibri"/>
        <family val="2"/>
        <scheme val="minor"/>
      </rPr>
      <t>T</t>
    </r>
    <r>
      <rPr>
        <vertAlign val="subscript"/>
        <sz val="11"/>
        <color theme="1"/>
        <rFont val="Calibri"/>
        <family val="2"/>
        <scheme val="minor"/>
      </rPr>
      <t>1</t>
    </r>
    <r>
      <rPr>
        <sz val="11"/>
        <color theme="1"/>
        <rFont val="Calibri"/>
        <family val="2"/>
        <scheme val="minor"/>
      </rPr>
      <t xml:space="preserve"> [in µs] measured by different systems as function of test voltage. Results are normalized to 400 kV reading.</t>
    </r>
  </si>
  <si>
    <r>
      <t xml:space="preserve">Figure 9 - Change of </t>
    </r>
    <r>
      <rPr>
        <i/>
        <sz val="11"/>
        <color theme="1"/>
        <rFont val="Calibri"/>
        <family val="2"/>
        <scheme val="minor"/>
      </rPr>
      <t>T</t>
    </r>
    <r>
      <rPr>
        <vertAlign val="subscript"/>
        <sz val="11"/>
        <color theme="1"/>
        <rFont val="Calibri"/>
        <family val="2"/>
        <scheme val="minor"/>
      </rPr>
      <t>2</t>
    </r>
    <r>
      <rPr>
        <sz val="11"/>
        <color theme="1"/>
        <rFont val="Calibri"/>
        <family val="2"/>
        <scheme val="minor"/>
      </rPr>
      <t xml:space="preserve"> [in µs] measured by different systems as function of test voltage. Results are normalized to 400 kV reading</t>
    </r>
  </si>
  <si>
    <r>
      <t xml:space="preserve">Figure 7 – Change of the ratio between RC4000 and RC3600 </t>
    </r>
    <r>
      <rPr>
        <i/>
        <sz val="11"/>
        <color theme="1"/>
        <rFont val="Calibri"/>
        <family val="2"/>
        <scheme val="minor"/>
      </rPr>
      <t>U</t>
    </r>
    <r>
      <rPr>
        <vertAlign val="subscript"/>
        <sz val="11"/>
        <color theme="1"/>
        <rFont val="Calibri"/>
        <family val="2"/>
        <scheme val="minor"/>
      </rPr>
      <t>t</t>
    </r>
    <r>
      <rPr>
        <sz val="11"/>
        <color theme="1"/>
        <rFont val="Calibri"/>
        <family val="2"/>
        <scheme val="minor"/>
      </rPr>
      <t xml:space="preserve"> readings and the charging voltage (blue and red), and comparison of RC4000 and RC3600 Ut readings after gain correction based on their 400 kV calibration (orange). Horizontal scale shows the test voltage.</t>
    </r>
  </si>
  <si>
    <r>
      <t xml:space="preserve">Figure 3 - Results of the 400 kV calibration. R400 system links the calibrations to worldwide comparison, and it is used as the reference. Vertical axis shows relative errors for </t>
    </r>
    <r>
      <rPr>
        <i/>
        <sz val="11"/>
        <color theme="1"/>
        <rFont val="Calibri"/>
        <family val="2"/>
        <scheme val="minor"/>
      </rPr>
      <t>U</t>
    </r>
    <r>
      <rPr>
        <vertAlign val="subscript"/>
        <sz val="11"/>
        <color theme="1"/>
        <rFont val="Calibri"/>
        <family val="2"/>
        <scheme val="minor"/>
      </rPr>
      <t>t</t>
    </r>
    <r>
      <rPr>
        <sz val="11"/>
        <color theme="1"/>
        <rFont val="Calibri"/>
        <family val="2"/>
        <scheme val="minor"/>
      </rPr>
      <t xml:space="preserve">, </t>
    </r>
    <r>
      <rPr>
        <i/>
        <sz val="11"/>
        <color theme="1"/>
        <rFont val="Calibri"/>
        <family val="2"/>
        <scheme val="minor"/>
      </rPr>
      <t>T</t>
    </r>
    <r>
      <rPr>
        <vertAlign val="subscript"/>
        <sz val="11"/>
        <color theme="1"/>
        <rFont val="Calibri"/>
        <family val="2"/>
        <scheme val="minor"/>
      </rPr>
      <t>1</t>
    </r>
    <r>
      <rPr>
        <sz val="11"/>
        <color theme="1"/>
        <rFont val="Calibri"/>
        <family val="2"/>
        <scheme val="minor"/>
      </rPr>
      <t xml:space="preserve"> and </t>
    </r>
    <r>
      <rPr>
        <i/>
        <sz val="11"/>
        <color theme="1"/>
        <rFont val="Calibri"/>
        <family val="2"/>
        <scheme val="minor"/>
      </rPr>
      <t>T</t>
    </r>
    <r>
      <rPr>
        <vertAlign val="subscript"/>
        <sz val="11"/>
        <color theme="1"/>
        <rFont val="Calibri"/>
        <family val="2"/>
        <scheme val="minor"/>
      </rPr>
      <t>2</t>
    </r>
    <r>
      <rPr>
        <sz val="11"/>
        <color theme="1"/>
        <rFont val="Calibri"/>
        <family val="2"/>
        <scheme val="minor"/>
      </rPr>
      <t xml:space="preserve">, and absolute errors for β’.  </t>
    </r>
  </si>
  <si>
    <t>https://doi.org/10.5281/zenodo.8208382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</si>
</sst>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
    <numFmt numFmtId="167" formatCode="0.00%"/>
  </numFmts>
  <fonts count="10" x14ac:knownFonts="1">
    <font>
      <sz val="11"/>
      <color theme="1"/>
      <name val="Calibri"/>
      <family val="2"/>
      <scheme val="minor"/>
    </font>
    <font>
      <sz val="11"/>
      <color theme="1"/>
      <name val="Calibri"/>
      <family val="2"/>
      <scheme val="minor"/>
    </font>
    <font>
      <i/>
      <sz val="10"/>
      <color theme="1"/>
      <name val="Times New Roman"/>
      <family val="1"/>
    </font>
    <font>
      <i/>
      <sz val="11"/>
      <color theme="1"/>
      <name val="Calibri"/>
      <family val="2"/>
      <scheme val="minor"/>
    </font>
    <font>
      <vertAlign val="subscript"/>
      <sz val="11"/>
      <color theme="1"/>
      <name val="Calibri"/>
      <family val="2"/>
      <scheme val="minor"/>
    </font>
    <font>
      <b/>
      <i/>
      <sz val="12"/>
      <color theme="1"/>
      <name val="Times New Roman"/>
      <family val="1"/>
    </font>
    <font>
      <b/>
      <i/>
      <vertAlign val="superscript"/>
      <sz val="12"/>
      <color theme="1"/>
      <name val="Times New Roman"/>
      <family val="1"/>
    </font>
    <font>
      <b/>
      <sz val="18"/>
      <color theme="1"/>
      <name val="Times New Roman"/>
      <family val="1"/>
    </font>
    <font>
      <i/>
      <vertAlign val="superscript"/>
      <sz val="10"/>
      <color theme="1"/>
      <name val="Times New Roman"/>
      <family val="1"/>
    </font>
    <font>
      <u/>
      <sz val="11"/>
      <color theme="10"/>
      <name val="Calibri"/>
      <family val="2"/>
      <scheme val="minor"/>
    </font>
  </fonts>
  <fills count="2">
    <fill>
      <patternFill patternType="none"/>
    </fill>
    <fill>
      <patternFill patternType="gray125"/>
    </fill>
  </fills>
  <borders count="19">
    <border>
      <left/>
      <right/>
      <top/>
      <bottom/>
      <diagonal/>
    </border>
    <border>
      <left/>
      <right/>
      <top style="thin">
        <color indexed="64"/>
      </top>
      <bottom style="double">
        <color indexed="64"/>
      </bottom>
      <diagonal/>
    </border>
    <border>
      <left/>
      <right/>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top/>
      <bottom style="double">
        <color indexed="64"/>
      </bottom>
      <diagonal/>
    </border>
    <border>
      <left/>
      <right style="thin">
        <color indexed="64"/>
      </right>
      <top/>
      <bottom style="double">
        <color indexed="64"/>
      </bottom>
      <diagonal/>
    </border>
  </borders>
  <cellStyleXfs count="3">
    <xf numFmtId="0" fontId="0" fillId="0" borderId="0"/>
    <xf numFmtId="9" fontId="1" fillId="0" borderId="0" applyFont="0" applyFill="0" applyBorder="0" applyAlignment="0" applyProtection="0"/>
    <xf numFmtId="0" fontId="9" fillId="0" borderId="0" applyNumberFormat="0" applyFill="0" applyBorder="0" applyAlignment="0" applyProtection="0"/>
  </cellStyleXfs>
  <cellXfs count="77">
    <xf numFmtId="0" fontId="0" fillId="0" borderId="0" xfId="0"/>
    <xf numFmtId="0" fontId="0" fillId="0" borderId="0" xfId="0" applyAlignment="1">
      <alignment horizontal="center"/>
    </xf>
    <xf numFmtId="2" fontId="0" fillId="0" borderId="0" xfId="0" applyNumberFormat="1" applyAlignment="1">
      <alignment horizontal="center"/>
    </xf>
    <xf numFmtId="10" fontId="0" fillId="0" borderId="0" xfId="1" applyNumberFormat="1" applyFont="1" applyAlignment="1">
      <alignment horizontal="center"/>
    </xf>
    <xf numFmtId="10" fontId="0" fillId="0" borderId="0" xfId="1" applyNumberFormat="1" applyFont="1" applyBorder="1" applyAlignment="1">
      <alignment horizontal="center"/>
    </xf>
    <xf numFmtId="10" fontId="0" fillId="0" borderId="2" xfId="1" applyNumberFormat="1" applyFont="1" applyBorder="1" applyAlignment="1">
      <alignment horizontal="center"/>
    </xf>
    <xf numFmtId="0" fontId="0" fillId="0" borderId="0" xfId="0" applyFill="1"/>
    <xf numFmtId="0" fontId="0" fillId="0" borderId="1" xfId="0" applyBorder="1" applyAlignment="1">
      <alignment horizontal="center" wrapText="1"/>
    </xf>
    <xf numFmtId="0" fontId="0" fillId="0" borderId="0" xfId="0" applyAlignment="1">
      <alignment wrapText="1"/>
    </xf>
    <xf numFmtId="0" fontId="0" fillId="0" borderId="3" xfId="0" applyBorder="1" applyAlignment="1">
      <alignment wrapText="1"/>
    </xf>
    <xf numFmtId="0" fontId="0" fillId="0" borderId="4" xfId="0" applyBorder="1" applyAlignment="1">
      <alignment horizontal="center" wrapText="1"/>
    </xf>
    <xf numFmtId="0" fontId="0" fillId="0" borderId="5" xfId="0" applyBorder="1"/>
    <xf numFmtId="2" fontId="0" fillId="0" borderId="0" xfId="0" applyNumberFormat="1" applyBorder="1" applyAlignment="1">
      <alignment horizontal="center"/>
    </xf>
    <xf numFmtId="2" fontId="0" fillId="0" borderId="6" xfId="0" applyNumberFormat="1" applyBorder="1" applyAlignment="1">
      <alignment horizontal="center"/>
    </xf>
    <xf numFmtId="0" fontId="0" fillId="0" borderId="7" xfId="0" applyBorder="1"/>
    <xf numFmtId="2" fontId="0" fillId="0" borderId="8" xfId="0" applyNumberFormat="1" applyBorder="1" applyAlignment="1">
      <alignment horizontal="center"/>
    </xf>
    <xf numFmtId="0" fontId="0" fillId="0" borderId="3" xfId="0" applyBorder="1" applyAlignment="1">
      <alignment horizontal="center" wrapText="1"/>
    </xf>
    <xf numFmtId="10" fontId="0" fillId="0" borderId="5" xfId="1" applyNumberFormat="1" applyFont="1" applyFill="1" applyBorder="1" applyAlignment="1">
      <alignment horizontal="center"/>
    </xf>
    <xf numFmtId="10" fontId="0" fillId="0" borderId="7" xfId="1" applyNumberFormat="1" applyFont="1" applyFill="1" applyBorder="1" applyAlignment="1">
      <alignment horizontal="center"/>
    </xf>
    <xf numFmtId="166" fontId="0" fillId="0" borderId="0" xfId="1" applyNumberFormat="1" applyFont="1" applyFill="1"/>
    <xf numFmtId="167" fontId="0" fillId="0" borderId="12" xfId="1" applyNumberFormat="1" applyFont="1" applyFill="1"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4" xfId="0" quotePrefix="1" applyBorder="1" applyAlignment="1">
      <alignment horizontal="center"/>
    </xf>
    <xf numFmtId="0" fontId="0" fillId="0" borderId="16" xfId="0" applyBorder="1" applyAlignment="1">
      <alignment horizontal="center"/>
    </xf>
    <xf numFmtId="167" fontId="0" fillId="0" borderId="5" xfId="1" applyNumberFormat="1" applyFont="1" applyFill="1" applyBorder="1" applyAlignment="1">
      <alignment horizontal="center"/>
    </xf>
    <xf numFmtId="167" fontId="0" fillId="0" borderId="0" xfId="1" applyNumberFormat="1" applyFont="1" applyFill="1" applyBorder="1" applyAlignment="1">
      <alignment horizontal="center"/>
    </xf>
    <xf numFmtId="167" fontId="0" fillId="0" borderId="6" xfId="1" applyNumberFormat="1" applyFont="1" applyFill="1" applyBorder="1" applyAlignment="1">
      <alignment horizontal="center"/>
    </xf>
    <xf numFmtId="167" fontId="0" fillId="0" borderId="17" xfId="1" applyNumberFormat="1" applyFont="1" applyFill="1" applyBorder="1" applyAlignment="1">
      <alignment horizontal="center"/>
    </xf>
    <xf numFmtId="167" fontId="0" fillId="0" borderId="18" xfId="1" applyNumberFormat="1" applyFont="1" applyFill="1" applyBorder="1" applyAlignment="1">
      <alignment horizontal="center"/>
    </xf>
    <xf numFmtId="167" fontId="0" fillId="0" borderId="7" xfId="1" applyNumberFormat="1" applyFont="1" applyFill="1" applyBorder="1" applyAlignment="1">
      <alignment horizontal="center"/>
    </xf>
    <xf numFmtId="167" fontId="0" fillId="0" borderId="2" xfId="1" applyNumberFormat="1" applyFont="1" applyFill="1" applyBorder="1" applyAlignment="1">
      <alignment horizontal="center"/>
    </xf>
    <xf numFmtId="167" fontId="0" fillId="0" borderId="8" xfId="1" applyNumberFormat="1" applyFont="1" applyFill="1" applyBorder="1" applyAlignment="1">
      <alignment horizontal="center"/>
    </xf>
    <xf numFmtId="166" fontId="0" fillId="0" borderId="5" xfId="1" applyNumberFormat="1" applyFont="1" applyFill="1" applyBorder="1"/>
    <xf numFmtId="166" fontId="0" fillId="0" borderId="5" xfId="0" applyNumberFormat="1" applyBorder="1"/>
    <xf numFmtId="2" fontId="0" fillId="0" borderId="5" xfId="1" applyNumberFormat="1" applyFont="1" applyFill="1" applyBorder="1" applyAlignment="1">
      <alignment horizontal="center"/>
    </xf>
    <xf numFmtId="2" fontId="0" fillId="0" borderId="0" xfId="1" applyNumberFormat="1" applyFont="1" applyFill="1" applyBorder="1" applyAlignment="1">
      <alignment horizontal="center"/>
    </xf>
    <xf numFmtId="2" fontId="0" fillId="0" borderId="6" xfId="1" applyNumberFormat="1" applyFont="1" applyFill="1" applyBorder="1" applyAlignment="1">
      <alignment horizontal="center"/>
    </xf>
    <xf numFmtId="2" fontId="0" fillId="0" borderId="17" xfId="1" applyNumberFormat="1" applyFont="1" applyFill="1" applyBorder="1" applyAlignment="1">
      <alignment horizontal="center"/>
    </xf>
    <xf numFmtId="2" fontId="0" fillId="0" borderId="12" xfId="1" applyNumberFormat="1" applyFont="1" applyFill="1" applyBorder="1" applyAlignment="1">
      <alignment horizontal="center"/>
    </xf>
    <xf numFmtId="2" fontId="0" fillId="0" borderId="18" xfId="1" applyNumberFormat="1" applyFont="1" applyFill="1" applyBorder="1" applyAlignment="1">
      <alignment horizontal="center"/>
    </xf>
    <xf numFmtId="2" fontId="0" fillId="0" borderId="7" xfId="1" applyNumberFormat="1" applyFont="1" applyFill="1" applyBorder="1" applyAlignment="1">
      <alignment horizontal="center"/>
    </xf>
    <xf numFmtId="2" fontId="0" fillId="0" borderId="2" xfId="1" applyNumberFormat="1" applyFont="1" applyFill="1" applyBorder="1" applyAlignment="1">
      <alignment horizontal="center"/>
    </xf>
    <xf numFmtId="2" fontId="0" fillId="0" borderId="8" xfId="1" applyNumberFormat="1" applyFont="1" applyFill="1" applyBorder="1" applyAlignment="1">
      <alignment horizontal="center"/>
    </xf>
    <xf numFmtId="0" fontId="0" fillId="0" borderId="13" xfId="0" applyBorder="1" applyAlignment="1">
      <alignment horizontal="center" wrapText="1"/>
    </xf>
    <xf numFmtId="0" fontId="0" fillId="0" borderId="1" xfId="0" applyFill="1" applyBorder="1" applyAlignment="1">
      <alignment horizontal="center" wrapText="1"/>
    </xf>
    <xf numFmtId="0" fontId="0" fillId="0" borderId="3" xfId="0" applyFill="1" applyBorder="1" applyAlignment="1">
      <alignment horizontal="center" wrapText="1"/>
    </xf>
    <xf numFmtId="0" fontId="0" fillId="0" borderId="4" xfId="0" applyFill="1" applyBorder="1" applyAlignment="1">
      <alignment horizontal="center" wrapText="1"/>
    </xf>
    <xf numFmtId="166" fontId="0" fillId="0" borderId="5" xfId="1" applyNumberFormat="1" applyFont="1" applyFill="1" applyBorder="1" applyAlignment="1">
      <alignment horizontal="center"/>
    </xf>
    <xf numFmtId="166" fontId="0" fillId="0" borderId="0" xfId="1" applyNumberFormat="1" applyFont="1" applyFill="1" applyBorder="1" applyAlignment="1">
      <alignment horizontal="center"/>
    </xf>
    <xf numFmtId="166" fontId="0" fillId="0" borderId="6" xfId="0" applyNumberFormat="1" applyFill="1" applyBorder="1" applyAlignment="1">
      <alignment horizontal="center"/>
    </xf>
    <xf numFmtId="166" fontId="0" fillId="0" borderId="5" xfId="0" applyNumberFormat="1" applyFill="1" applyBorder="1" applyAlignment="1">
      <alignment horizontal="center"/>
    </xf>
    <xf numFmtId="166" fontId="0" fillId="0" borderId="0" xfId="0" applyNumberFormat="1" applyFill="1" applyBorder="1" applyAlignment="1">
      <alignment horizontal="center"/>
    </xf>
    <xf numFmtId="166" fontId="0" fillId="0" borderId="7" xfId="0" applyNumberFormat="1" applyFill="1" applyBorder="1" applyAlignment="1">
      <alignment horizontal="center"/>
    </xf>
    <xf numFmtId="166" fontId="0" fillId="0" borderId="2" xfId="0" applyNumberFormat="1" applyFill="1" applyBorder="1" applyAlignment="1">
      <alignment horizontal="center"/>
    </xf>
    <xf numFmtId="166" fontId="0" fillId="0" borderId="8" xfId="0" applyNumberFormat="1" applyFill="1" applyBorder="1" applyAlignment="1">
      <alignment horizontal="center"/>
    </xf>
    <xf numFmtId="0" fontId="0" fillId="0" borderId="0" xfId="0" applyAlignment="1">
      <alignment horizontal="left"/>
    </xf>
    <xf numFmtId="0" fontId="0" fillId="0" borderId="0" xfId="0" applyBorder="1" applyAlignment="1">
      <alignment horizontal="center"/>
    </xf>
    <xf numFmtId="0" fontId="0" fillId="0" borderId="0" xfId="0" applyBorder="1" applyAlignment="1">
      <alignment horizontal="center" wrapText="1"/>
    </xf>
    <xf numFmtId="164" fontId="0" fillId="0" borderId="5" xfId="0" applyNumberFormat="1" applyBorder="1" applyAlignment="1">
      <alignment horizontal="center"/>
    </xf>
    <xf numFmtId="164" fontId="0" fillId="0" borderId="7" xfId="0" applyNumberFormat="1" applyBorder="1" applyAlignment="1">
      <alignment horizontal="center"/>
    </xf>
    <xf numFmtId="165" fontId="0" fillId="0" borderId="5" xfId="0" applyNumberFormat="1" applyBorder="1" applyAlignment="1">
      <alignment horizontal="center"/>
    </xf>
    <xf numFmtId="165" fontId="0" fillId="0" borderId="0" xfId="0" applyNumberFormat="1" applyBorder="1" applyAlignment="1">
      <alignment horizontal="center"/>
    </xf>
    <xf numFmtId="165" fontId="0" fillId="0" borderId="6" xfId="0" applyNumberFormat="1" applyBorder="1" applyAlignment="1">
      <alignment horizontal="center"/>
    </xf>
    <xf numFmtId="165" fontId="0" fillId="0" borderId="7" xfId="0" applyNumberFormat="1" applyBorder="1" applyAlignment="1">
      <alignment horizontal="center"/>
    </xf>
    <xf numFmtId="165" fontId="0" fillId="0" borderId="2" xfId="0" applyNumberFormat="1" applyBorder="1" applyAlignment="1">
      <alignment horizontal="center"/>
    </xf>
    <xf numFmtId="165" fontId="0" fillId="0" borderId="8" xfId="0" applyNumberFormat="1" applyBorder="1" applyAlignment="1">
      <alignment horizontal="center"/>
    </xf>
    <xf numFmtId="0" fontId="7" fillId="0" borderId="0" xfId="0" applyFont="1" applyAlignment="1">
      <alignment horizontal="center" vertical="center"/>
    </xf>
    <xf numFmtId="0" fontId="5" fillId="0" borderId="0" xfId="0" applyFont="1" applyAlignment="1">
      <alignment horizontal="center" vertical="center"/>
    </xf>
    <xf numFmtId="0" fontId="8"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wrapText="1"/>
    </xf>
    <xf numFmtId="0" fontId="0" fillId="0" borderId="0" xfId="0" applyAlignment="1">
      <alignment horizontal="center" wrapText="1"/>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9" fillId="0" borderId="0" xfId="2" applyAlignment="1">
      <alignment horizontal="center"/>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en-GB">
                <a:solidFill>
                  <a:schemeClr val="tx1"/>
                </a:solidFill>
              </a:rPr>
              <a:t>Negative</a:t>
            </a:r>
          </a:p>
        </c:rich>
      </c:tx>
      <c:layout>
        <c:manualLayout>
          <c:xMode val="edge"/>
          <c:yMode val="edge"/>
          <c:x val="0.18233068749636752"/>
          <c:y val="0.66401938444633035"/>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en-FI"/>
        </a:p>
      </c:txPr>
    </c:title>
    <c:autoTitleDeleted val="0"/>
    <c:plotArea>
      <c:layout>
        <c:manualLayout>
          <c:layoutTarget val="inner"/>
          <c:xMode val="edge"/>
          <c:yMode val="edge"/>
          <c:x val="0.16517873052470883"/>
          <c:y val="0.18185458353977699"/>
          <c:w val="0.81944781711811676"/>
          <c:h val="0.58850423597859203"/>
        </c:manualLayout>
      </c:layout>
      <c:lineChart>
        <c:grouping val="standard"/>
        <c:varyColors val="0"/>
        <c:ser>
          <c:idx val="0"/>
          <c:order val="0"/>
          <c:tx>
            <c:v>RC4000</c:v>
          </c:tx>
          <c:spPr>
            <a:ln w="19050" cap="rnd">
              <a:solidFill>
                <a:schemeClr val="accent1"/>
              </a:solidFill>
              <a:round/>
            </a:ln>
            <a:effectLst/>
          </c:spPr>
          <c:marker>
            <c:symbol val="circle"/>
            <c:size val="5"/>
            <c:spPr>
              <a:solidFill>
                <a:schemeClr val="accent1"/>
              </a:solidFill>
              <a:ln w="9525">
                <a:solidFill>
                  <a:schemeClr val="accent1"/>
                </a:solidFill>
              </a:ln>
              <a:effectLst/>
            </c:spPr>
          </c:marker>
          <c:dPt>
            <c:idx val="8"/>
            <c:marker>
              <c:symbol val="circle"/>
              <c:size val="5"/>
              <c:spPr>
                <a:solidFill>
                  <a:schemeClr val="accent1"/>
                </a:solidFill>
                <a:ln w="9525">
                  <a:solidFill>
                    <a:schemeClr val="accent1"/>
                  </a:solidFill>
                </a:ln>
                <a:effectLst/>
              </c:spPr>
            </c:marker>
            <c:bubble3D val="0"/>
            <c:spPr>
              <a:ln w="19050" cap="rnd">
                <a:noFill/>
                <a:round/>
              </a:ln>
              <a:effectLst/>
            </c:spPr>
            <c:extLst>
              <c:ext xmlns:c16="http://schemas.microsoft.com/office/drawing/2014/chart" uri="{C3380CC4-5D6E-409C-BE32-E72D297353CC}">
                <c16:uniqueId val="{00000001-8DCA-4C7C-AFB2-77E10E79FA86}"/>
              </c:ext>
            </c:extLst>
          </c:dPt>
          <c:cat>
            <c:strRef>
              <c:f>'Fig. 8'!$B$16:$B$26</c:f>
              <c:strCache>
                <c:ptCount val="11"/>
                <c:pt idx="0">
                  <c:v>-400</c:v>
                </c:pt>
                <c:pt idx="1">
                  <c:v>-600</c:v>
                </c:pt>
                <c:pt idx="2">
                  <c:v>-800</c:v>
                </c:pt>
                <c:pt idx="3">
                  <c:v>-1000</c:v>
                </c:pt>
                <c:pt idx="4">
                  <c:v>-1200</c:v>
                </c:pt>
                <c:pt idx="5">
                  <c:v>-1600</c:v>
                </c:pt>
                <c:pt idx="6">
                  <c:v>-2000</c:v>
                </c:pt>
                <c:pt idx="7">
                  <c:v>-2400 (16s)</c:v>
                </c:pt>
                <c:pt idx="8">
                  <c:v>-2400 (20s)</c:v>
                </c:pt>
                <c:pt idx="9">
                  <c:v>-2800</c:v>
                </c:pt>
                <c:pt idx="10">
                  <c:v>-3000</c:v>
                </c:pt>
              </c:strCache>
            </c:strRef>
          </c:cat>
          <c:val>
            <c:numRef>
              <c:f>'Fig. 8'!$D$16:$D$26</c:f>
              <c:numCache>
                <c:formatCode>0.00</c:formatCode>
                <c:ptCount val="11"/>
                <c:pt idx="0">
                  <c:v>0</c:v>
                </c:pt>
                <c:pt idx="2">
                  <c:v>-6.9999999999998952E-3</c:v>
                </c:pt>
                <c:pt idx="4">
                  <c:v>-1.5000000000000568E-3</c:v>
                </c:pt>
                <c:pt idx="5">
                  <c:v>1.2750000000000261E-2</c:v>
                </c:pt>
                <c:pt idx="6">
                  <c:v>3.1250000000000222E-2</c:v>
                </c:pt>
                <c:pt idx="7">
                  <c:v>2.5000000000000133E-2</c:v>
                </c:pt>
                <c:pt idx="8">
                  <c:v>2.5000000000000133E-2</c:v>
                </c:pt>
                <c:pt idx="9">
                  <c:v>0.12600000000000011</c:v>
                </c:pt>
                <c:pt idx="10">
                  <c:v>0.16075000000000017</c:v>
                </c:pt>
              </c:numCache>
            </c:numRef>
          </c:val>
          <c:smooth val="0"/>
          <c:extLst>
            <c:ext xmlns:c16="http://schemas.microsoft.com/office/drawing/2014/chart" uri="{C3380CC4-5D6E-409C-BE32-E72D297353CC}">
              <c16:uniqueId val="{00000002-8DCA-4C7C-AFB2-77E10E79FA86}"/>
            </c:ext>
          </c:extLst>
        </c:ser>
        <c:ser>
          <c:idx val="1"/>
          <c:order val="1"/>
          <c:tx>
            <c:v>R2000</c:v>
          </c:tx>
          <c:spPr>
            <a:ln w="19050" cap="rnd">
              <a:solidFill>
                <a:schemeClr val="accent2"/>
              </a:solidFill>
              <a:round/>
            </a:ln>
            <a:effectLst/>
          </c:spPr>
          <c:marker>
            <c:symbol val="circle"/>
            <c:size val="5"/>
            <c:spPr>
              <a:solidFill>
                <a:schemeClr val="accent2"/>
              </a:solidFill>
              <a:ln w="9525">
                <a:solidFill>
                  <a:schemeClr val="accent2"/>
                </a:solidFill>
              </a:ln>
              <a:effectLst/>
            </c:spPr>
          </c:marker>
          <c:cat>
            <c:strRef>
              <c:f>'Fig. 8'!$B$16:$B$26</c:f>
              <c:strCache>
                <c:ptCount val="11"/>
                <c:pt idx="0">
                  <c:v>-400</c:v>
                </c:pt>
                <c:pt idx="1">
                  <c:v>-600</c:v>
                </c:pt>
                <c:pt idx="2">
                  <c:v>-800</c:v>
                </c:pt>
                <c:pt idx="3">
                  <c:v>-1000</c:v>
                </c:pt>
                <c:pt idx="4">
                  <c:v>-1200</c:v>
                </c:pt>
                <c:pt idx="5">
                  <c:v>-1600</c:v>
                </c:pt>
                <c:pt idx="6">
                  <c:v>-2000</c:v>
                </c:pt>
                <c:pt idx="7">
                  <c:v>-2400 (16s)</c:v>
                </c:pt>
                <c:pt idx="8">
                  <c:v>-2400 (20s)</c:v>
                </c:pt>
                <c:pt idx="9">
                  <c:v>-2800</c:v>
                </c:pt>
                <c:pt idx="10">
                  <c:v>-3000</c:v>
                </c:pt>
              </c:strCache>
            </c:strRef>
          </c:cat>
          <c:val>
            <c:numRef>
              <c:f>'Fig. 8'!$E$16:$E$26</c:f>
              <c:numCache>
                <c:formatCode>0.00</c:formatCode>
                <c:ptCount val="11"/>
                <c:pt idx="0">
                  <c:v>0</c:v>
                </c:pt>
                <c:pt idx="1">
                  <c:v>3.7643683102225101E-2</c:v>
                </c:pt>
                <c:pt idx="2">
                  <c:v>1.8820218580020143E-2</c:v>
                </c:pt>
                <c:pt idx="3">
                  <c:v>2.9880968821770049E-2</c:v>
                </c:pt>
                <c:pt idx="4">
                  <c:v>3.752157224888264E-2</c:v>
                </c:pt>
                <c:pt idx="5">
                  <c:v>5.9608126757972668E-2</c:v>
                </c:pt>
                <c:pt idx="6">
                  <c:v>9.6270489769162859E-2</c:v>
                </c:pt>
              </c:numCache>
            </c:numRef>
          </c:val>
          <c:smooth val="0"/>
          <c:extLst>
            <c:ext xmlns:c16="http://schemas.microsoft.com/office/drawing/2014/chart" uri="{C3380CC4-5D6E-409C-BE32-E72D297353CC}">
              <c16:uniqueId val="{00000003-8DCA-4C7C-AFB2-77E10E79FA86}"/>
            </c:ext>
          </c:extLst>
        </c:ser>
        <c:ser>
          <c:idx val="2"/>
          <c:order val="2"/>
          <c:tx>
            <c:v>RC1200</c:v>
          </c:tx>
          <c:spPr>
            <a:ln w="19050" cap="rnd">
              <a:solidFill>
                <a:schemeClr val="accent3"/>
              </a:solidFill>
              <a:round/>
            </a:ln>
            <a:effectLst/>
          </c:spPr>
          <c:marker>
            <c:symbol val="circle"/>
            <c:size val="5"/>
            <c:spPr>
              <a:solidFill>
                <a:schemeClr val="accent3"/>
              </a:solidFill>
              <a:ln w="9525">
                <a:solidFill>
                  <a:schemeClr val="accent3"/>
                </a:solidFill>
              </a:ln>
              <a:effectLst/>
            </c:spPr>
          </c:marker>
          <c:cat>
            <c:strRef>
              <c:f>'Fig. 8'!$B$16:$B$26</c:f>
              <c:strCache>
                <c:ptCount val="11"/>
                <c:pt idx="0">
                  <c:v>-400</c:v>
                </c:pt>
                <c:pt idx="1">
                  <c:v>-600</c:v>
                </c:pt>
                <c:pt idx="2">
                  <c:v>-800</c:v>
                </c:pt>
                <c:pt idx="3">
                  <c:v>-1000</c:v>
                </c:pt>
                <c:pt idx="4">
                  <c:v>-1200</c:v>
                </c:pt>
                <c:pt idx="5">
                  <c:v>-1600</c:v>
                </c:pt>
                <c:pt idx="6">
                  <c:v>-2000</c:v>
                </c:pt>
                <c:pt idx="7">
                  <c:v>-2400 (16s)</c:v>
                </c:pt>
                <c:pt idx="8">
                  <c:v>-2400 (20s)</c:v>
                </c:pt>
                <c:pt idx="9">
                  <c:v>-2800</c:v>
                </c:pt>
                <c:pt idx="10">
                  <c:v>-3000</c:v>
                </c:pt>
              </c:strCache>
            </c:strRef>
          </c:cat>
          <c:val>
            <c:numRef>
              <c:f>'Fig. 8'!$F$16:$F$26</c:f>
              <c:numCache>
                <c:formatCode>0.00</c:formatCode>
                <c:ptCount val="11"/>
                <c:pt idx="0">
                  <c:v>0</c:v>
                </c:pt>
                <c:pt idx="2">
                  <c:v>2.4000000000000021E-2</c:v>
                </c:pt>
                <c:pt idx="4">
                  <c:v>4.4500000000000206E-2</c:v>
                </c:pt>
              </c:numCache>
            </c:numRef>
          </c:val>
          <c:smooth val="0"/>
          <c:extLst>
            <c:ext xmlns:c16="http://schemas.microsoft.com/office/drawing/2014/chart" uri="{C3380CC4-5D6E-409C-BE32-E72D297353CC}">
              <c16:uniqueId val="{00000004-8DCA-4C7C-AFB2-77E10E79FA86}"/>
            </c:ext>
          </c:extLst>
        </c:ser>
        <c:ser>
          <c:idx val="3"/>
          <c:order val="3"/>
          <c:tx>
            <c:v>R1200B</c:v>
          </c:tx>
          <c:spPr>
            <a:ln w="19050" cap="rnd">
              <a:solidFill>
                <a:schemeClr val="accent4"/>
              </a:solidFill>
              <a:round/>
            </a:ln>
            <a:effectLst/>
          </c:spPr>
          <c:marker>
            <c:symbol val="circle"/>
            <c:size val="5"/>
            <c:spPr>
              <a:solidFill>
                <a:schemeClr val="accent4"/>
              </a:solidFill>
              <a:ln w="9525">
                <a:solidFill>
                  <a:schemeClr val="accent4"/>
                </a:solidFill>
              </a:ln>
              <a:effectLst/>
            </c:spPr>
          </c:marker>
          <c:cat>
            <c:strRef>
              <c:f>'Fig. 8'!$B$16:$B$26</c:f>
              <c:strCache>
                <c:ptCount val="11"/>
                <c:pt idx="0">
                  <c:v>-400</c:v>
                </c:pt>
                <c:pt idx="1">
                  <c:v>-600</c:v>
                </c:pt>
                <c:pt idx="2">
                  <c:v>-800</c:v>
                </c:pt>
                <c:pt idx="3">
                  <c:v>-1000</c:v>
                </c:pt>
                <c:pt idx="4">
                  <c:v>-1200</c:v>
                </c:pt>
                <c:pt idx="5">
                  <c:v>-1600</c:v>
                </c:pt>
                <c:pt idx="6">
                  <c:v>-2000</c:v>
                </c:pt>
                <c:pt idx="7">
                  <c:v>-2400 (16s)</c:v>
                </c:pt>
                <c:pt idx="8">
                  <c:v>-2400 (20s)</c:v>
                </c:pt>
                <c:pt idx="9">
                  <c:v>-2800</c:v>
                </c:pt>
                <c:pt idx="10">
                  <c:v>-3000</c:v>
                </c:pt>
              </c:strCache>
            </c:strRef>
          </c:cat>
          <c:val>
            <c:numRef>
              <c:f>'Fig. 8'!$G$16:$G$26</c:f>
              <c:numCache>
                <c:formatCode>0.00</c:formatCode>
                <c:ptCount val="11"/>
                <c:pt idx="0">
                  <c:v>0</c:v>
                </c:pt>
                <c:pt idx="1">
                  <c:v>3.4894425000000506E-3</c:v>
                </c:pt>
                <c:pt idx="2">
                  <c:v>1.4708092500000269E-2</c:v>
                </c:pt>
                <c:pt idx="3">
                  <c:v>-1.2549134999999767E-2</c:v>
                </c:pt>
                <c:pt idx="4">
                  <c:v>-7.3345749999997878E-3</c:v>
                </c:pt>
              </c:numCache>
            </c:numRef>
          </c:val>
          <c:smooth val="0"/>
          <c:extLst>
            <c:ext xmlns:c16="http://schemas.microsoft.com/office/drawing/2014/chart" uri="{C3380CC4-5D6E-409C-BE32-E72D297353CC}">
              <c16:uniqueId val="{00000005-8DCA-4C7C-AFB2-77E10E79FA86}"/>
            </c:ext>
          </c:extLst>
        </c:ser>
        <c:ser>
          <c:idx val="4"/>
          <c:order val="4"/>
          <c:tx>
            <c:v>R1200A</c:v>
          </c:tx>
          <c:spPr>
            <a:ln w="19050" cap="rnd">
              <a:solidFill>
                <a:schemeClr val="accent5"/>
              </a:solidFill>
              <a:round/>
            </a:ln>
            <a:effectLst/>
          </c:spPr>
          <c:marker>
            <c:symbol val="circle"/>
            <c:size val="5"/>
            <c:spPr>
              <a:solidFill>
                <a:schemeClr val="accent5"/>
              </a:solidFill>
              <a:ln w="9525">
                <a:solidFill>
                  <a:schemeClr val="accent5"/>
                </a:solidFill>
              </a:ln>
              <a:effectLst/>
            </c:spPr>
          </c:marker>
          <c:cat>
            <c:strRef>
              <c:f>'Fig. 8'!$B$16:$B$26</c:f>
              <c:strCache>
                <c:ptCount val="11"/>
                <c:pt idx="0">
                  <c:v>-400</c:v>
                </c:pt>
                <c:pt idx="1">
                  <c:v>-600</c:v>
                </c:pt>
                <c:pt idx="2">
                  <c:v>-800</c:v>
                </c:pt>
                <c:pt idx="3">
                  <c:v>-1000</c:v>
                </c:pt>
                <c:pt idx="4">
                  <c:v>-1200</c:v>
                </c:pt>
                <c:pt idx="5">
                  <c:v>-1600</c:v>
                </c:pt>
                <c:pt idx="6">
                  <c:v>-2000</c:v>
                </c:pt>
                <c:pt idx="7">
                  <c:v>-2400 (16s)</c:v>
                </c:pt>
                <c:pt idx="8">
                  <c:v>-2400 (20s)</c:v>
                </c:pt>
                <c:pt idx="9">
                  <c:v>-2800</c:v>
                </c:pt>
                <c:pt idx="10">
                  <c:v>-3000</c:v>
                </c:pt>
              </c:strCache>
            </c:strRef>
          </c:cat>
          <c:val>
            <c:numRef>
              <c:f>'Fig. 8'!$H$16:$H$26</c:f>
              <c:numCache>
                <c:formatCode>0.00</c:formatCode>
                <c:ptCount val="11"/>
                <c:pt idx="0">
                  <c:v>0</c:v>
                </c:pt>
                <c:pt idx="1">
                  <c:v>-6.4250000000001251E-3</c:v>
                </c:pt>
                <c:pt idx="2">
                  <c:v>1.2224999999999708E-2</c:v>
                </c:pt>
                <c:pt idx="3">
                  <c:v>1.5449999999999964E-2</c:v>
                </c:pt>
                <c:pt idx="4">
                  <c:v>2.9649999999999732E-2</c:v>
                </c:pt>
              </c:numCache>
            </c:numRef>
          </c:val>
          <c:smooth val="0"/>
          <c:extLst>
            <c:ext xmlns:c16="http://schemas.microsoft.com/office/drawing/2014/chart" uri="{C3380CC4-5D6E-409C-BE32-E72D297353CC}">
              <c16:uniqueId val="{00000006-8DCA-4C7C-AFB2-77E10E79FA86}"/>
            </c:ext>
          </c:extLst>
        </c:ser>
        <c:ser>
          <c:idx val="5"/>
          <c:order val="5"/>
          <c:tx>
            <c:v>RC1000</c:v>
          </c:tx>
          <c:spPr>
            <a:ln w="19050" cap="rnd">
              <a:solidFill>
                <a:schemeClr val="accent6"/>
              </a:solidFill>
              <a:round/>
            </a:ln>
            <a:effectLst/>
          </c:spPr>
          <c:marker>
            <c:symbol val="circle"/>
            <c:size val="5"/>
            <c:spPr>
              <a:solidFill>
                <a:schemeClr val="accent6"/>
              </a:solidFill>
              <a:ln w="9525">
                <a:solidFill>
                  <a:schemeClr val="accent6"/>
                </a:solidFill>
              </a:ln>
              <a:effectLst/>
            </c:spPr>
          </c:marker>
          <c:cat>
            <c:strRef>
              <c:f>'Fig. 8'!$B$16:$B$26</c:f>
              <c:strCache>
                <c:ptCount val="11"/>
                <c:pt idx="0">
                  <c:v>-400</c:v>
                </c:pt>
                <c:pt idx="1">
                  <c:v>-600</c:v>
                </c:pt>
                <c:pt idx="2">
                  <c:v>-800</c:v>
                </c:pt>
                <c:pt idx="3">
                  <c:v>-1000</c:v>
                </c:pt>
                <c:pt idx="4">
                  <c:v>-1200</c:v>
                </c:pt>
                <c:pt idx="5">
                  <c:v>-1600</c:v>
                </c:pt>
                <c:pt idx="6">
                  <c:v>-2000</c:v>
                </c:pt>
                <c:pt idx="7">
                  <c:v>-2400 (16s)</c:v>
                </c:pt>
                <c:pt idx="8">
                  <c:v>-2400 (20s)</c:v>
                </c:pt>
                <c:pt idx="9">
                  <c:v>-2800</c:v>
                </c:pt>
                <c:pt idx="10">
                  <c:v>-3000</c:v>
                </c:pt>
              </c:strCache>
            </c:strRef>
          </c:cat>
          <c:val>
            <c:numRef>
              <c:f>'Fig. 8'!$I$16:$I$26</c:f>
              <c:numCache>
                <c:formatCode>0.00</c:formatCode>
                <c:ptCount val="11"/>
                <c:pt idx="0">
                  <c:v>0</c:v>
                </c:pt>
                <c:pt idx="1">
                  <c:v>4.6403659504952177E-3</c:v>
                </c:pt>
                <c:pt idx="2">
                  <c:v>1.2012017604262626E-2</c:v>
                </c:pt>
                <c:pt idx="3">
                  <c:v>2.1865882825217398E-2</c:v>
                </c:pt>
              </c:numCache>
            </c:numRef>
          </c:val>
          <c:smooth val="0"/>
          <c:extLst>
            <c:ext xmlns:c16="http://schemas.microsoft.com/office/drawing/2014/chart" uri="{C3380CC4-5D6E-409C-BE32-E72D297353CC}">
              <c16:uniqueId val="{00000007-8DCA-4C7C-AFB2-77E10E79FA86}"/>
            </c:ext>
          </c:extLst>
        </c:ser>
        <c:ser>
          <c:idx val="6"/>
          <c:order val="6"/>
          <c:tx>
            <c:v>RC3600</c:v>
          </c:tx>
          <c:spPr>
            <a:ln w="19050" cap="rnd">
              <a:solidFill>
                <a:srgbClr val="FF0000"/>
              </a:solidFill>
              <a:round/>
            </a:ln>
            <a:effectLst/>
          </c:spPr>
          <c:marker>
            <c:symbol val="circle"/>
            <c:size val="5"/>
            <c:spPr>
              <a:solidFill>
                <a:srgbClr val="FF0000"/>
              </a:solidFill>
              <a:ln w="9525">
                <a:solidFill>
                  <a:srgbClr val="FF0000"/>
                </a:solidFill>
              </a:ln>
              <a:effectLst/>
            </c:spPr>
          </c:marker>
          <c:dPt>
            <c:idx val="8"/>
            <c:marker>
              <c:symbol val="circle"/>
              <c:size val="5"/>
              <c:spPr>
                <a:solidFill>
                  <a:srgbClr val="FF0000"/>
                </a:solidFill>
                <a:ln w="9525">
                  <a:solidFill>
                    <a:srgbClr val="FF0000"/>
                  </a:solidFill>
                </a:ln>
                <a:effectLst/>
              </c:spPr>
            </c:marker>
            <c:bubble3D val="0"/>
            <c:spPr>
              <a:ln w="19050" cap="rnd">
                <a:noFill/>
                <a:round/>
              </a:ln>
              <a:effectLst/>
            </c:spPr>
            <c:extLst>
              <c:ext xmlns:c16="http://schemas.microsoft.com/office/drawing/2014/chart" uri="{C3380CC4-5D6E-409C-BE32-E72D297353CC}">
                <c16:uniqueId val="{00000009-8DCA-4C7C-AFB2-77E10E79FA86}"/>
              </c:ext>
            </c:extLst>
          </c:dPt>
          <c:cat>
            <c:strRef>
              <c:f>'Fig. 8'!$B$16:$B$26</c:f>
              <c:strCache>
                <c:ptCount val="11"/>
                <c:pt idx="0">
                  <c:v>-400</c:v>
                </c:pt>
                <c:pt idx="1">
                  <c:v>-600</c:v>
                </c:pt>
                <c:pt idx="2">
                  <c:v>-800</c:v>
                </c:pt>
                <c:pt idx="3">
                  <c:v>-1000</c:v>
                </c:pt>
                <c:pt idx="4">
                  <c:v>-1200</c:v>
                </c:pt>
                <c:pt idx="5">
                  <c:v>-1600</c:v>
                </c:pt>
                <c:pt idx="6">
                  <c:v>-2000</c:v>
                </c:pt>
                <c:pt idx="7">
                  <c:v>-2400 (16s)</c:v>
                </c:pt>
                <c:pt idx="8">
                  <c:v>-2400 (20s)</c:v>
                </c:pt>
                <c:pt idx="9">
                  <c:v>-2800</c:v>
                </c:pt>
                <c:pt idx="10">
                  <c:v>-3000</c:v>
                </c:pt>
              </c:strCache>
            </c:strRef>
          </c:cat>
          <c:val>
            <c:numRef>
              <c:f>'Fig. 8'!$C$16:$C$26</c:f>
              <c:numCache>
                <c:formatCode>0.00</c:formatCode>
                <c:ptCount val="11"/>
                <c:pt idx="0">
                  <c:v>0</c:v>
                </c:pt>
                <c:pt idx="2">
                  <c:v>-7.5750000000000206E-2</c:v>
                </c:pt>
                <c:pt idx="4">
                  <c:v>-0.14024999999999999</c:v>
                </c:pt>
                <c:pt idx="5">
                  <c:v>-0.19375000000000009</c:v>
                </c:pt>
                <c:pt idx="6">
                  <c:v>-0.2430000000000001</c:v>
                </c:pt>
                <c:pt idx="7">
                  <c:v>-0.25649999999999995</c:v>
                </c:pt>
                <c:pt idx="8">
                  <c:v>-0.25649999999999995</c:v>
                </c:pt>
                <c:pt idx="9">
                  <c:v>-0.26049999999999995</c:v>
                </c:pt>
                <c:pt idx="10">
                  <c:v>-0.24774999999999991</c:v>
                </c:pt>
              </c:numCache>
            </c:numRef>
          </c:val>
          <c:smooth val="0"/>
          <c:extLst>
            <c:ext xmlns:c16="http://schemas.microsoft.com/office/drawing/2014/chart" uri="{C3380CC4-5D6E-409C-BE32-E72D297353CC}">
              <c16:uniqueId val="{0000000A-8DCA-4C7C-AFB2-77E10E79FA86}"/>
            </c:ext>
          </c:extLst>
        </c:ser>
        <c:dLbls>
          <c:showLegendKey val="0"/>
          <c:showVal val="0"/>
          <c:showCatName val="0"/>
          <c:showSerName val="0"/>
          <c:showPercent val="0"/>
          <c:showBubbleSize val="0"/>
        </c:dLbls>
        <c:marker val="1"/>
        <c:smooth val="0"/>
        <c:axId val="380242911"/>
        <c:axId val="380240831"/>
      </c:lineChart>
      <c:catAx>
        <c:axId val="380242911"/>
        <c:scaling>
          <c:orientation val="minMax"/>
        </c:scaling>
        <c:delete val="0"/>
        <c:axPos val="b"/>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GB" sz="1400" b="0" i="0" u="none" strike="noStrike" kern="1200" baseline="0">
                    <a:solidFill>
                      <a:schemeClr val="tx1"/>
                    </a:solidFill>
                    <a:latin typeface="+mn-lt"/>
                    <a:ea typeface="+mn-ea"/>
                    <a:cs typeface="Arial" panose="020B0604020202020204" pitchFamily="34" charset="0"/>
                  </a:defRPr>
                </a:pPr>
                <a:r>
                  <a:rPr lang="en-GB" sz="1400" b="0" i="0" u="none" strike="noStrike" kern="1200" baseline="0">
                    <a:solidFill>
                      <a:schemeClr val="tx1"/>
                    </a:solidFill>
                    <a:latin typeface="+mn-lt"/>
                    <a:ea typeface="+mn-ea"/>
                    <a:cs typeface="Arial" panose="020B0604020202020204" pitchFamily="34" charset="0"/>
                  </a:rPr>
                  <a:t>Voltage (kV)</a:t>
                </a:r>
              </a:p>
            </c:rich>
          </c:tx>
          <c:layout>
            <c:manualLayout>
              <c:xMode val="edge"/>
              <c:yMode val="edge"/>
              <c:x val="0.21558976200290761"/>
              <c:y val="0.91937169179147316"/>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GB" sz="1400" b="0" i="0" u="none" strike="noStrike" kern="1200" baseline="0">
                  <a:solidFill>
                    <a:schemeClr val="tx1"/>
                  </a:solidFill>
                  <a:latin typeface="+mn-lt"/>
                  <a:ea typeface="+mn-ea"/>
                  <a:cs typeface="Arial" panose="020B0604020202020204" pitchFamily="34" charset="0"/>
                </a:defRPr>
              </a:pPr>
              <a:endParaRPr lang="en-FI"/>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0" i="0" u="none" strike="noStrike" kern="1200" baseline="0">
                <a:solidFill>
                  <a:schemeClr val="tx1"/>
                </a:solidFill>
                <a:latin typeface="+mn-lt"/>
                <a:ea typeface="+mn-ea"/>
                <a:cs typeface="+mn-cs"/>
              </a:defRPr>
            </a:pPr>
            <a:endParaRPr lang="en-FI"/>
          </a:p>
        </c:txPr>
        <c:crossAx val="380240831"/>
        <c:crosses val="autoZero"/>
        <c:auto val="1"/>
        <c:lblAlgn val="ctr"/>
        <c:lblOffset val="0"/>
        <c:noMultiLvlLbl val="0"/>
      </c:catAx>
      <c:valAx>
        <c:axId val="380240831"/>
        <c:scaling>
          <c:orientation val="minMax"/>
          <c:max val="0.2"/>
          <c:min val="-0.3000000000000000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GB" sz="1400" b="0" i="0" u="none" strike="noStrike" kern="1200" baseline="0">
                    <a:solidFill>
                      <a:schemeClr val="tx1"/>
                    </a:solidFill>
                    <a:latin typeface="+mn-lt"/>
                    <a:ea typeface="+mn-ea"/>
                    <a:cs typeface="Arial" panose="020B0604020202020204" pitchFamily="34" charset="0"/>
                  </a:defRPr>
                </a:pPr>
                <a:r>
                  <a:rPr lang="en-GB" sz="1400" b="0" i="0" u="none" strike="noStrike" kern="1200" baseline="0">
                    <a:solidFill>
                      <a:schemeClr val="tx1"/>
                    </a:solidFill>
                    <a:latin typeface="+mn-lt"/>
                    <a:ea typeface="+mn-ea"/>
                    <a:cs typeface="Arial" panose="020B0604020202020204" pitchFamily="34" charset="0"/>
                    <a:sym typeface="Symbol" panose="05050102010706020507" pitchFamily="18" charset="2"/>
                  </a:rPr>
                  <a:t></a:t>
                </a:r>
                <a:r>
                  <a:rPr lang="en-GB" sz="1400" b="0" i="0" u="none" strike="noStrike" kern="1200" baseline="0">
                    <a:solidFill>
                      <a:schemeClr val="tx1"/>
                    </a:solidFill>
                    <a:latin typeface="+mn-lt"/>
                    <a:ea typeface="+mn-ea"/>
                    <a:cs typeface="Arial" panose="020B0604020202020204" pitchFamily="34" charset="0"/>
                  </a:rPr>
                  <a:t> </a:t>
                </a:r>
                <a:r>
                  <a:rPr lang="en-GB" sz="1400" b="0" i="1" u="none" strike="noStrike" kern="1200" baseline="0">
                    <a:solidFill>
                      <a:schemeClr val="tx1"/>
                    </a:solidFill>
                    <a:latin typeface="+mn-lt"/>
                    <a:ea typeface="+mn-ea"/>
                    <a:cs typeface="Arial" panose="020B0604020202020204" pitchFamily="34" charset="0"/>
                  </a:rPr>
                  <a:t>T</a:t>
                </a:r>
                <a:r>
                  <a:rPr lang="en-GB" sz="1400" b="0" i="0" u="none" strike="noStrike" kern="1200" baseline="-25000">
                    <a:solidFill>
                      <a:schemeClr val="tx1"/>
                    </a:solidFill>
                    <a:latin typeface="+mn-lt"/>
                    <a:ea typeface="+mn-ea"/>
                    <a:cs typeface="Arial" panose="020B0604020202020204" pitchFamily="34" charset="0"/>
                  </a:rPr>
                  <a:t>1</a:t>
                </a:r>
                <a:r>
                  <a:rPr lang="en-GB" sz="1400" b="0" i="0" u="none" strike="noStrike" kern="1200" baseline="0">
                    <a:solidFill>
                      <a:schemeClr val="tx1"/>
                    </a:solidFill>
                    <a:latin typeface="+mn-lt"/>
                    <a:ea typeface="+mn-ea"/>
                    <a:cs typeface="Arial" panose="020B0604020202020204" pitchFamily="34" charset="0"/>
                  </a:rPr>
                  <a:t>  (µs)</a:t>
                </a:r>
              </a:p>
            </c:rich>
          </c:tx>
          <c:layout>
            <c:manualLayout>
              <c:xMode val="edge"/>
              <c:yMode val="edge"/>
              <c:x val="1.7205351682178564E-2"/>
              <c:y val="0.37005853597515809"/>
            </c:manualLayout>
          </c:layout>
          <c:overlay val="0"/>
          <c:spPr>
            <a:noFill/>
            <a:ln>
              <a:noFill/>
            </a:ln>
            <a:effectLst/>
          </c:spPr>
          <c:txPr>
            <a:bodyPr rot="-5400000" spcFirstLastPara="1" vertOverflow="ellipsis" vert="horz" wrap="square" anchor="ctr" anchorCtr="1"/>
            <a:lstStyle/>
            <a:p>
              <a:pPr algn="ctr" rtl="0">
                <a:defRPr lang="en-GB" sz="1400" b="0" i="0" u="none" strike="noStrike" kern="1200" baseline="0">
                  <a:solidFill>
                    <a:schemeClr val="tx1"/>
                  </a:solidFill>
                  <a:latin typeface="+mn-lt"/>
                  <a:ea typeface="+mn-ea"/>
                  <a:cs typeface="Arial" panose="020B0604020202020204" pitchFamily="34" charset="0"/>
                </a:defRPr>
              </a:pPr>
              <a:endParaRPr lang="en-FI"/>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FI"/>
          </a:p>
        </c:txPr>
        <c:crossAx val="380242911"/>
        <c:crosses val="autoZero"/>
        <c:crossBetween val="between"/>
        <c:majorUnit val="0.1"/>
      </c:valAx>
      <c:spPr>
        <a:noFill/>
        <a:ln w="12700">
          <a:solidFill>
            <a:schemeClr val="tx1"/>
          </a:solidFill>
        </a:ln>
        <a:effectLst/>
      </c:spPr>
    </c:plotArea>
    <c:legend>
      <c:legendPos val="r"/>
      <c:layout>
        <c:manualLayout>
          <c:xMode val="edge"/>
          <c:yMode val="edge"/>
          <c:x val="0.19656690367008592"/>
          <c:y val="1.5831486817786192E-2"/>
          <c:w val="0.74262075115635517"/>
          <c:h val="0.1396171308174187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FI"/>
        </a:p>
      </c:txPr>
    </c:legend>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22225" cap="flat" cmpd="sng" algn="ctr">
      <a:noFill/>
      <a:round/>
    </a:ln>
    <a:effectLst/>
  </c:spPr>
  <c:txPr>
    <a:bodyPr/>
    <a:lstStyle/>
    <a:p>
      <a:pPr>
        <a:defRPr sz="1200"/>
      </a:pPr>
      <a:endParaRPr lang="en-FI"/>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GB"/>
              <a:t>Negative</a:t>
            </a:r>
          </a:p>
        </c:rich>
      </c:tx>
      <c:layout>
        <c:manualLayout>
          <c:xMode val="edge"/>
          <c:yMode val="edge"/>
          <c:x val="5.1342670810676783E-2"/>
          <c:y val="5.2690799634472832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FI"/>
        </a:p>
      </c:txPr>
    </c:title>
    <c:autoTitleDeleted val="0"/>
    <c:plotArea>
      <c:layout>
        <c:manualLayout>
          <c:layoutTarget val="inner"/>
          <c:xMode val="edge"/>
          <c:yMode val="edge"/>
          <c:x val="0.1546863943734601"/>
          <c:y val="0.22263888888888889"/>
          <c:w val="0.83343019256796558"/>
          <c:h val="0.62446722092699325"/>
        </c:manualLayout>
      </c:layout>
      <c:lineChart>
        <c:grouping val="standard"/>
        <c:varyColors val="0"/>
        <c:ser>
          <c:idx val="0"/>
          <c:order val="0"/>
          <c:tx>
            <c:v>RC4000</c:v>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8'!#REF!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'Fig. 8'!#REF!</c15:sqref>
                        </c15:formulaRef>
                      </c:ext>
                    </c:extLst>
                  </c:multiLvlStrRef>
                </c15:cat>
              </c15:filteredCategoryTitle>
            </c:ext>
            <c:ext xmlns:c16="http://schemas.microsoft.com/office/drawing/2014/chart" uri="{C3380CC4-5D6E-409C-BE32-E72D297353CC}">
              <c16:uniqueId val="{00000000-8787-402C-9187-EE01C99A44A4}"/>
            </c:ext>
          </c:extLst>
        </c:ser>
        <c:ser>
          <c:idx val="1"/>
          <c:order val="1"/>
          <c:tx>
            <c:v>R2000</c:v>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'Fig. 8'!#REF!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'Fig. 8'!#REF!</c15:sqref>
                        </c15:formulaRef>
                      </c:ext>
                    </c:extLst>
                  </c:multiLvlStrRef>
                </c15:cat>
              </c15:filteredCategoryTitle>
            </c:ext>
            <c:ext xmlns:c16="http://schemas.microsoft.com/office/drawing/2014/chart" uri="{C3380CC4-5D6E-409C-BE32-E72D297353CC}">
              <c16:uniqueId val="{00000001-8787-402C-9187-EE01C99A44A4}"/>
            </c:ext>
          </c:extLst>
        </c:ser>
        <c:ser>
          <c:idx val="2"/>
          <c:order val="2"/>
          <c:tx>
            <c:v>RC1200</c:v>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'Fig. 8'!#REF!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'Fig. 8'!#REF!</c15:sqref>
                        </c15:formulaRef>
                      </c:ext>
                    </c:extLst>
                  </c:multiLvlStrRef>
                </c15:cat>
              </c15:filteredCategoryTitle>
            </c:ext>
            <c:ext xmlns:c16="http://schemas.microsoft.com/office/drawing/2014/chart" uri="{C3380CC4-5D6E-409C-BE32-E72D297353CC}">
              <c16:uniqueId val="{00000002-8787-402C-9187-EE01C99A44A4}"/>
            </c:ext>
          </c:extLst>
        </c:ser>
        <c:ser>
          <c:idx val="3"/>
          <c:order val="3"/>
          <c:tx>
            <c:v>R1200B</c:v>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'Fig. 8'!#REF!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'Fig. 8'!#REF!</c15:sqref>
                        </c15:formulaRef>
                      </c:ext>
                    </c:extLst>
                  </c:multiLvlStrRef>
                </c15:cat>
              </c15:filteredCategoryTitle>
            </c:ext>
            <c:ext xmlns:c16="http://schemas.microsoft.com/office/drawing/2014/chart" uri="{C3380CC4-5D6E-409C-BE32-E72D297353CC}">
              <c16:uniqueId val="{00000003-8787-402C-9187-EE01C99A44A4}"/>
            </c:ext>
          </c:extLst>
        </c:ser>
        <c:ser>
          <c:idx val="4"/>
          <c:order val="4"/>
          <c:tx>
            <c:v>R1200A</c:v>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'Fig. 8'!#REF!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'Fig. 8'!#REF!</c15:sqref>
                        </c15:formulaRef>
                      </c:ext>
                    </c:extLst>
                  </c:multiLvlStrRef>
                </c15:cat>
              </c15:filteredCategoryTitle>
            </c:ext>
            <c:ext xmlns:c16="http://schemas.microsoft.com/office/drawing/2014/chart" uri="{C3380CC4-5D6E-409C-BE32-E72D297353CC}">
              <c16:uniqueId val="{00000004-8787-402C-9187-EE01C99A44A4}"/>
            </c:ext>
          </c:extLst>
        </c:ser>
        <c:ser>
          <c:idx val="5"/>
          <c:order val="5"/>
          <c:tx>
            <c:v>RC1000</c:v>
          </c:tx>
          <c:spPr>
            <a:ln w="28575" cap="rnd">
              <a:solidFill>
                <a:schemeClr val="accent6"/>
              </a:solidFill>
              <a:round/>
            </a:ln>
            <a:effectLst/>
          </c:spPr>
          <c:marker>
            <c:symbol val="circle"/>
            <c:size val="5"/>
            <c:spPr>
              <a:solidFill>
                <a:schemeClr val="accent6"/>
              </a:solidFill>
              <a:ln w="9525">
                <a:solidFill>
                  <a:schemeClr val="accent6"/>
                </a:solidFill>
              </a:ln>
              <a:effectLst/>
            </c:spPr>
          </c:marker>
          <c:val>
            <c:numRef>
              <c:f>'Fig. 8'!#REF!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'Fig. 8'!#REF!</c15:sqref>
                        </c15:formulaRef>
                      </c:ext>
                    </c:extLst>
                  </c:multiLvlStrRef>
                </c15:cat>
              </c15:filteredCategoryTitle>
            </c:ext>
            <c:ext xmlns:c16="http://schemas.microsoft.com/office/drawing/2014/chart" uri="{C3380CC4-5D6E-409C-BE32-E72D297353CC}">
              <c16:uniqueId val="{00000005-8787-402C-9187-EE01C99A44A4}"/>
            </c:ext>
          </c:extLst>
        </c:ser>
        <c:ser>
          <c:idx val="6"/>
          <c:order val="6"/>
          <c:tx>
            <c:v>RC3600</c:v>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val>
            <c:numRef>
              <c:f>'Fig. 8'!#REF!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'Fig. 8'!#REF!</c15:sqref>
                        </c15:formulaRef>
                      </c:ext>
                    </c:extLst>
                  </c:multiLvlStrRef>
                </c15:cat>
              </c15:filteredCategoryTitle>
            </c:ext>
            <c:ext xmlns:c16="http://schemas.microsoft.com/office/drawing/2014/chart" uri="{C3380CC4-5D6E-409C-BE32-E72D297353CC}">
              <c16:uniqueId val="{00000006-8787-402C-9187-EE01C99A44A4}"/>
            </c:ext>
          </c:extLst>
        </c:ser>
        <c:dLbls>
          <c:showLegendKey val="0"/>
          <c:showVal val="0"/>
          <c:showCatName val="0"/>
          <c:showSerName val="0"/>
          <c:showPercent val="0"/>
          <c:showBubbleSize val="0"/>
        </c:dLbls>
        <c:marker val="1"/>
        <c:smooth val="0"/>
        <c:axId val="380242911"/>
        <c:axId val="380240831"/>
      </c:lineChart>
      <c:catAx>
        <c:axId val="380242911"/>
        <c:scaling>
          <c:orientation val="minMax"/>
        </c:scaling>
        <c:delete val="0"/>
        <c:axPos val="b"/>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GB" sz="1400" b="0" i="0" u="none" strike="noStrike" kern="1200" baseline="0">
                    <a:solidFill>
                      <a:sysClr val="windowText" lastClr="000000">
                        <a:lumMod val="65000"/>
                        <a:lumOff val="35000"/>
                      </a:sysClr>
                    </a:solidFill>
                    <a:latin typeface="+mn-lt"/>
                    <a:ea typeface="+mn-ea"/>
                    <a:cs typeface="Arial" panose="020B0604020202020204" pitchFamily="34" charset="0"/>
                  </a:defRPr>
                </a:pPr>
                <a:r>
                  <a:rPr lang="en-GB" sz="1400" b="0" i="0" u="none" strike="noStrike" kern="1200" baseline="0">
                    <a:solidFill>
                      <a:sysClr val="windowText" lastClr="000000">
                        <a:lumMod val="65000"/>
                        <a:lumOff val="35000"/>
                      </a:sysClr>
                    </a:solidFill>
                    <a:latin typeface="+mn-lt"/>
                    <a:ea typeface="+mn-ea"/>
                    <a:cs typeface="Arial" panose="020B0604020202020204" pitchFamily="34" charset="0"/>
                  </a:rPr>
                  <a:t>Voltage (kV)</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GB" sz="1400" b="0" i="0" u="none" strike="noStrike" kern="1200" baseline="0">
                  <a:solidFill>
                    <a:sysClr val="windowText" lastClr="000000">
                      <a:lumMod val="65000"/>
                      <a:lumOff val="35000"/>
                    </a:sysClr>
                  </a:solidFill>
                  <a:latin typeface="+mn-lt"/>
                  <a:ea typeface="+mn-ea"/>
                  <a:cs typeface="Arial" panose="020B0604020202020204" pitchFamily="34" charset="0"/>
                </a:defRPr>
              </a:pPr>
              <a:endParaRPr lang="en-FI"/>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FI"/>
          </a:p>
        </c:txPr>
        <c:crossAx val="380240831"/>
        <c:crosses val="autoZero"/>
        <c:auto val="1"/>
        <c:lblAlgn val="ctr"/>
        <c:lblOffset val="100"/>
        <c:noMultiLvlLbl val="0"/>
      </c:catAx>
      <c:valAx>
        <c:axId val="380240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GB" sz="1400" b="0" i="0" u="none" strike="noStrike" kern="1200" baseline="0">
                    <a:solidFill>
                      <a:sysClr val="windowText" lastClr="000000">
                        <a:lumMod val="65000"/>
                        <a:lumOff val="35000"/>
                      </a:sysClr>
                    </a:solidFill>
                    <a:latin typeface="+mn-lt"/>
                    <a:ea typeface="+mn-ea"/>
                    <a:cs typeface="Arial" panose="020B0604020202020204" pitchFamily="34" charset="0"/>
                  </a:defRPr>
                </a:pPr>
                <a:r>
                  <a:rPr lang="en-GB" sz="1400" b="0" i="0" u="none" strike="noStrike" kern="1200" baseline="0">
                    <a:solidFill>
                      <a:sysClr val="windowText" lastClr="000000">
                        <a:lumMod val="65000"/>
                        <a:lumOff val="35000"/>
                      </a:sysClr>
                    </a:solidFill>
                    <a:latin typeface="+mn-lt"/>
                    <a:ea typeface="+mn-ea"/>
                    <a:cs typeface="Arial" panose="020B0604020202020204" pitchFamily="34" charset="0"/>
                  </a:rPr>
                  <a:t>delta T1 (µs)</a:t>
                </a:r>
              </a:p>
            </c:rich>
          </c:tx>
          <c:overlay val="0"/>
          <c:spPr>
            <a:noFill/>
            <a:ln>
              <a:noFill/>
            </a:ln>
            <a:effectLst/>
          </c:spPr>
          <c:txPr>
            <a:bodyPr rot="-5400000" spcFirstLastPara="1" vertOverflow="ellipsis" vert="horz" wrap="square" anchor="ctr" anchorCtr="1"/>
            <a:lstStyle/>
            <a:p>
              <a:pPr algn="ctr" rtl="0">
                <a:defRPr lang="en-GB" sz="1400" b="0" i="0" u="none" strike="noStrike" kern="1200" baseline="0">
                  <a:solidFill>
                    <a:sysClr val="windowText" lastClr="000000">
                      <a:lumMod val="65000"/>
                      <a:lumOff val="35000"/>
                    </a:sysClr>
                  </a:solidFill>
                  <a:latin typeface="+mn-lt"/>
                  <a:ea typeface="+mn-ea"/>
                  <a:cs typeface="Arial" panose="020B0604020202020204" pitchFamily="34" charset="0"/>
                </a:defRPr>
              </a:pPr>
              <a:endParaRPr lang="en-FI"/>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FI"/>
          </a:p>
        </c:txPr>
        <c:crossAx val="380242911"/>
        <c:crosses val="autoZero"/>
        <c:crossBetween val="between"/>
        <c:majorUnit val="0.1"/>
      </c:valAx>
      <c:spPr>
        <a:noFill/>
        <a:ln>
          <a:noFill/>
        </a:ln>
        <a:effectLst/>
      </c:spPr>
    </c:plotArea>
    <c:legend>
      <c:legendPos val="r"/>
      <c:layout>
        <c:manualLayout>
          <c:xMode val="edge"/>
          <c:yMode val="edge"/>
          <c:x val="0.25971983449221187"/>
          <c:y val="1.5831510644502771E-2"/>
          <c:w val="0.68473060501943639"/>
          <c:h val="0.2058119403595128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FI"/>
        </a:p>
      </c:txPr>
    </c:legend>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FI"/>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28</xdr:col>
      <xdr:colOff>67308</xdr:colOff>
      <xdr:row>7</xdr:row>
      <xdr:rowOff>173766</xdr:rowOff>
    </xdr:from>
    <xdr:to>
      <xdr:col>36</xdr:col>
      <xdr:colOff>25399</xdr:colOff>
      <xdr:row>22</xdr:row>
      <xdr:rowOff>120650</xdr:rowOff>
    </xdr:to>
    <xdr:graphicFrame macro="">
      <xdr:nvGraphicFramePr>
        <xdr:cNvPr id="11" name="Chart 10">
          <a:extLst>
            <a:ext uri="{FF2B5EF4-FFF2-40B4-BE49-F238E27FC236}">
              <a16:creationId xmlns:a16="http://schemas.microsoft.com/office/drawing/2014/main" id="{0B45B4A6-C628-456B-BC9D-4CC3658BAB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13111</xdr:colOff>
      <xdr:row>2</xdr:row>
      <xdr:rowOff>0</xdr:rowOff>
    </xdr:from>
    <xdr:to>
      <xdr:col>35</xdr:col>
      <xdr:colOff>601755</xdr:colOff>
      <xdr:row>3</xdr:row>
      <xdr:rowOff>164590</xdr:rowOff>
    </xdr:to>
    <xdr:graphicFrame macro="">
      <xdr:nvGraphicFramePr>
        <xdr:cNvPr id="13" name="Chart 12">
          <a:extLst>
            <a:ext uri="{FF2B5EF4-FFF2-40B4-BE49-F238E27FC236}">
              <a16:creationId xmlns:a16="http://schemas.microsoft.com/office/drawing/2014/main" id="{BC3C0730-72EA-4045-B453-A2B362561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i.org/10.5281/zenodo.820838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D1A93-A28C-46AC-A7C1-8B1292D0D055}">
  <dimension ref="B2:N20"/>
  <sheetViews>
    <sheetView tabSelected="1" workbookViewId="0">
      <selection activeCell="P9" sqref="P9"/>
    </sheetView>
  </sheetViews>
  <sheetFormatPr defaultRowHeight="15" x14ac:dyDescent="0.25"/>
  <cols>
    <col min="2" max="14" width="9" customWidth="1"/>
  </cols>
  <sheetData>
    <row r="2" spans="2:14" ht="30.75" customHeight="1" x14ac:dyDescent="0.25">
      <c r="B2" s="72" t="s">
        <v>47</v>
      </c>
      <c r="C2" s="72"/>
      <c r="D2" s="72"/>
      <c r="E2" s="72"/>
      <c r="F2" s="72"/>
      <c r="G2" s="72"/>
      <c r="H2" s="72"/>
      <c r="I2" s="72"/>
      <c r="J2" s="72"/>
      <c r="K2" s="72"/>
      <c r="L2" s="72"/>
      <c r="M2" s="72"/>
      <c r="N2" s="72"/>
    </row>
    <row r="3" spans="2:14" ht="16.5" customHeight="1" x14ac:dyDescent="0.25">
      <c r="B3" s="71"/>
      <c r="C3" s="71"/>
      <c r="D3" s="71"/>
      <c r="E3" s="71"/>
      <c r="F3" s="71"/>
      <c r="G3" s="71"/>
      <c r="H3" s="76" t="s">
        <v>52</v>
      </c>
      <c r="I3" s="71"/>
      <c r="J3" s="71"/>
      <c r="K3" s="71"/>
      <c r="L3" s="71"/>
      <c r="M3" s="71"/>
      <c r="N3" s="71"/>
    </row>
    <row r="5" spans="2:14" ht="22.5" x14ac:dyDescent="0.25">
      <c r="H5" s="67" t="s">
        <v>33</v>
      </c>
    </row>
    <row r="6" spans="2:14" ht="18" customHeight="1" x14ac:dyDescent="0.25">
      <c r="H6" s="67"/>
    </row>
    <row r="7" spans="2:14" ht="18.75" x14ac:dyDescent="0.25">
      <c r="H7" s="68" t="s">
        <v>34</v>
      </c>
    </row>
    <row r="8" spans="2:14" ht="18.75" x14ac:dyDescent="0.25">
      <c r="H8" s="68" t="s">
        <v>35</v>
      </c>
    </row>
    <row r="9" spans="2:14" ht="18.75" x14ac:dyDescent="0.25">
      <c r="H9" s="68" t="s">
        <v>36</v>
      </c>
    </row>
    <row r="10" spans="2:14" ht="15.75" x14ac:dyDescent="0.25">
      <c r="H10" s="68"/>
    </row>
    <row r="11" spans="2:14" x14ac:dyDescent="0.25">
      <c r="H11" s="69" t="s">
        <v>37</v>
      </c>
    </row>
    <row r="12" spans="2:14" x14ac:dyDescent="0.25">
      <c r="H12" s="69" t="s">
        <v>38</v>
      </c>
    </row>
    <row r="13" spans="2:14" x14ac:dyDescent="0.25">
      <c r="H13" s="69" t="s">
        <v>39</v>
      </c>
    </row>
    <row r="14" spans="2:14" x14ac:dyDescent="0.25">
      <c r="H14" s="69" t="s">
        <v>40</v>
      </c>
    </row>
    <row r="15" spans="2:14" x14ac:dyDescent="0.25">
      <c r="H15" s="69" t="s">
        <v>41</v>
      </c>
    </row>
    <row r="16" spans="2:14" x14ac:dyDescent="0.25">
      <c r="H16" s="69" t="s">
        <v>42</v>
      </c>
    </row>
    <row r="17" spans="8:8" x14ac:dyDescent="0.25">
      <c r="H17" s="69" t="s">
        <v>43</v>
      </c>
    </row>
    <row r="18" spans="8:8" x14ac:dyDescent="0.25">
      <c r="H18" s="69" t="s">
        <v>44</v>
      </c>
    </row>
    <row r="19" spans="8:8" x14ac:dyDescent="0.25">
      <c r="H19" s="69" t="s">
        <v>45</v>
      </c>
    </row>
    <row r="20" spans="8:8" x14ac:dyDescent="0.25">
      <c r="H20" s="70" t="s">
        <v>46</v>
      </c>
    </row>
  </sheetData>
  <mergeCells count="1">
    <mergeCell ref="B2:N2"/>
  </mergeCells>
  <hyperlinks>
    <hyperlink ref="H3" r:id="rId1" xr:uid="{06FDA8C5-E26E-474D-9CC0-0423D3ED5D2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405D2-1C74-4E02-A71A-938972BB585F}">
  <dimension ref="B2:J24"/>
  <sheetViews>
    <sheetView workbookViewId="0">
      <selection activeCell="B2" sqref="B2"/>
    </sheetView>
  </sheetViews>
  <sheetFormatPr defaultRowHeight="15" x14ac:dyDescent="0.25"/>
  <cols>
    <col min="3" max="3" width="14.28515625" customWidth="1"/>
    <col min="4" max="7" width="14.28515625" style="1" customWidth="1"/>
    <col min="8" max="10" width="14.28515625" customWidth="1"/>
  </cols>
  <sheetData>
    <row r="2" spans="2:10" ht="18" x14ac:dyDescent="0.35">
      <c r="B2" t="s">
        <v>51</v>
      </c>
      <c r="C2" s="6"/>
    </row>
    <row r="3" spans="2:10" x14ac:dyDescent="0.25">
      <c r="G3"/>
    </row>
    <row r="4" spans="2:10" x14ac:dyDescent="0.25">
      <c r="C4" s="73" t="s">
        <v>13</v>
      </c>
      <c r="D4" s="74"/>
      <c r="E4" s="74"/>
      <c r="F4" s="75"/>
      <c r="G4" s="73" t="s">
        <v>14</v>
      </c>
      <c r="H4" s="74"/>
      <c r="I4" s="74"/>
      <c r="J4" s="75"/>
    </row>
    <row r="5" spans="2:10" s="8" customFormat="1" ht="30.75" thickBot="1" x14ac:dyDescent="0.3">
      <c r="B5" s="9" t="s">
        <v>15</v>
      </c>
      <c r="C5" s="16" t="s">
        <v>0</v>
      </c>
      <c r="D5" s="7" t="s">
        <v>1</v>
      </c>
      <c r="E5" s="7" t="s">
        <v>2</v>
      </c>
      <c r="F5" s="10" t="s">
        <v>3</v>
      </c>
      <c r="G5" s="16" t="s">
        <v>0</v>
      </c>
      <c r="H5" s="7" t="s">
        <v>1</v>
      </c>
      <c r="I5" s="7" t="s">
        <v>2</v>
      </c>
      <c r="J5" s="10" t="s">
        <v>3</v>
      </c>
    </row>
    <row r="6" spans="2:10" ht="15.75" thickTop="1" x14ac:dyDescent="0.25">
      <c r="B6" s="11" t="s">
        <v>4</v>
      </c>
      <c r="C6" s="17">
        <v>-1.3688517370931319E-2</v>
      </c>
      <c r="D6" s="4">
        <v>-3.2133464119389075E-2</v>
      </c>
      <c r="E6" s="4">
        <v>-1.0460636989245709E-4</v>
      </c>
      <c r="F6" s="13">
        <v>0.54969279088565881</v>
      </c>
      <c r="G6" s="17">
        <v>-1.4781415183470337E-2</v>
      </c>
      <c r="H6" s="4">
        <v>-3.2763446021650287E-2</v>
      </c>
      <c r="I6" s="4">
        <v>-1.3057674820815101E-3</v>
      </c>
      <c r="J6" s="13">
        <v>0.55338555705552417</v>
      </c>
    </row>
    <row r="7" spans="2:10" x14ac:dyDescent="0.25">
      <c r="B7" s="11" t="s">
        <v>5</v>
      </c>
      <c r="C7" s="17">
        <v>6.047484629171818E-4</v>
      </c>
      <c r="D7" s="4">
        <v>3.9127938097068601E-3</v>
      </c>
      <c r="E7" s="4">
        <v>1.541149151852661E-3</v>
      </c>
      <c r="F7" s="13">
        <v>0.76405729376433784</v>
      </c>
      <c r="G7" s="17">
        <v>-2.204309981590047E-4</v>
      </c>
      <c r="H7" s="4">
        <v>3.8421927807739788E-3</v>
      </c>
      <c r="I7" s="4">
        <v>2.3576414072473016E-3</v>
      </c>
      <c r="J7" s="13">
        <v>0.76331689033195416</v>
      </c>
    </row>
    <row r="8" spans="2:10" x14ac:dyDescent="0.25">
      <c r="B8" s="11" t="s">
        <v>6</v>
      </c>
      <c r="C8" s="17">
        <v>-3.4421479935529799E-3</v>
      </c>
      <c r="D8" s="4">
        <v>4.5671183045167488E-3</v>
      </c>
      <c r="E8" s="4">
        <v>-2.8484689466778067E-3</v>
      </c>
      <c r="F8" s="13">
        <v>-3.5377013464063058E-2</v>
      </c>
      <c r="G8" s="17">
        <v>-3.2544898307847237E-3</v>
      </c>
      <c r="H8" s="4">
        <v>6.4799064214399182E-3</v>
      </c>
      <c r="I8" s="4">
        <v>-2.9842701402876259E-3</v>
      </c>
      <c r="J8" s="13">
        <v>-7.0193049797550701E-3</v>
      </c>
    </row>
    <row r="9" spans="2:10" x14ac:dyDescent="0.25">
      <c r="B9" s="11" t="s">
        <v>7</v>
      </c>
      <c r="C9" s="17">
        <v>1.2357578817237202E-3</v>
      </c>
      <c r="D9" s="4">
        <v>8.7575288494372346E-3</v>
      </c>
      <c r="E9" s="4">
        <v>-1.0306055132171532E-3</v>
      </c>
      <c r="F9" s="13">
        <v>3.1435127465501695</v>
      </c>
      <c r="G9" s="17">
        <v>7.4646536284739273E-4</v>
      </c>
      <c r="H9" s="4">
        <v>1.0866845382213563E-2</v>
      </c>
      <c r="I9" s="4">
        <v>-1.1448308468440028E-3</v>
      </c>
      <c r="J9" s="13">
        <v>3.2565169523413053</v>
      </c>
    </row>
    <row r="10" spans="2:10" x14ac:dyDescent="0.25">
      <c r="B10" s="11" t="s">
        <v>8</v>
      </c>
      <c r="C10" s="17">
        <v>1.43939792657104E-3</v>
      </c>
      <c r="D10" s="4">
        <v>-5.8847964109936791E-2</v>
      </c>
      <c r="E10" s="4">
        <v>-9.4915048612027823E-3</v>
      </c>
      <c r="F10" s="13">
        <v>0.96189248267798322</v>
      </c>
      <c r="G10" s="17">
        <v>5.4827567086221938E-4</v>
      </c>
      <c r="H10" s="4">
        <v>-5.6210776047129131E-2</v>
      </c>
      <c r="I10" s="4">
        <v>-1.0373909556109107E-2</v>
      </c>
      <c r="J10" s="13">
        <v>0.93397657820222013</v>
      </c>
    </row>
    <row r="11" spans="2:10" x14ac:dyDescent="0.25">
      <c r="B11" s="11" t="s">
        <v>9</v>
      </c>
      <c r="C11" s="17">
        <v>-6.406160037562336E-4</v>
      </c>
      <c r="D11" s="4">
        <v>1.8241806907374026E-2</v>
      </c>
      <c r="E11" s="4">
        <v>1.9230168943740189E-3</v>
      </c>
      <c r="F11" s="13">
        <v>-5.7681685344143127E-2</v>
      </c>
      <c r="G11" s="17">
        <v>-2.1247379614401708E-3</v>
      </c>
      <c r="H11" s="4">
        <v>8.7217997136261223E-3</v>
      </c>
      <c r="I11" s="4">
        <v>1.2563895107077228E-3</v>
      </c>
      <c r="J11" s="13">
        <v>-6.0414828000313968E-2</v>
      </c>
    </row>
    <row r="12" spans="2:10" x14ac:dyDescent="0.25">
      <c r="B12" s="11" t="s">
        <v>10</v>
      </c>
      <c r="C12" s="17">
        <v>-6.763110689163021E-4</v>
      </c>
      <c r="D12" s="4">
        <v>-3.7952520914910651E-2</v>
      </c>
      <c r="E12" s="4">
        <v>-3.4266876197446951E-3</v>
      </c>
      <c r="F12" s="13">
        <v>0.49925836315120603</v>
      </c>
      <c r="G12" s="17">
        <v>-1.5224278890400011E-3</v>
      </c>
      <c r="H12" s="4">
        <v>-3.5078722061142965E-2</v>
      </c>
      <c r="I12" s="4">
        <v>-3.8458947621261229E-3</v>
      </c>
      <c r="J12" s="13">
        <v>0.51988422062399597</v>
      </c>
    </row>
    <row r="13" spans="2:10" x14ac:dyDescent="0.25">
      <c r="B13" s="11" t="s">
        <v>11</v>
      </c>
      <c r="C13" s="17">
        <v>8.1560083675703103E-3</v>
      </c>
      <c r="D13" s="4">
        <v>5.5948921712646274E-2</v>
      </c>
      <c r="E13" s="4">
        <v>2.7603562591681667E-2</v>
      </c>
      <c r="F13" s="13">
        <v>-0.70226000314147763</v>
      </c>
      <c r="G13" s="17">
        <v>6.6832464891776189E-3</v>
      </c>
      <c r="H13" s="4">
        <v>6.0505856774507392E-2</v>
      </c>
      <c r="I13" s="4">
        <v>2.5870467577209167E-2</v>
      </c>
      <c r="J13" s="13">
        <v>-0.70013681992582044</v>
      </c>
    </row>
    <row r="14" spans="2:10" x14ac:dyDescent="0.25">
      <c r="B14" s="14" t="s">
        <v>12</v>
      </c>
      <c r="C14" s="18">
        <f>-0.996122748858686%+2.3%</f>
        <v>1.303877251141314E-2</v>
      </c>
      <c r="D14" s="5">
        <v>-2.0791349885256966E-2</v>
      </c>
      <c r="E14" s="5">
        <v>-8.2368297013078288E-3</v>
      </c>
      <c r="F14" s="15">
        <v>0.48353999685852234</v>
      </c>
      <c r="G14" s="18">
        <f>-1.20538766413472%+2.3%</f>
        <v>1.0946123358652799E-2</v>
      </c>
      <c r="H14" s="5">
        <v>-2.396973833560994E-2</v>
      </c>
      <c r="I14" s="5">
        <v>-1.0173604873399108E-2</v>
      </c>
      <c r="J14" s="15">
        <v>0.46336318007417959</v>
      </c>
    </row>
    <row r="15" spans="2:10" x14ac:dyDescent="0.25">
      <c r="C15" s="6"/>
    </row>
    <row r="16" spans="2:10" x14ac:dyDescent="0.25">
      <c r="G16"/>
    </row>
    <row r="17" spans="4:7" x14ac:dyDescent="0.25">
      <c r="G17"/>
    </row>
    <row r="18" spans="4:7" x14ac:dyDescent="0.25">
      <c r="G18"/>
    </row>
    <row r="19" spans="4:7" x14ac:dyDescent="0.25">
      <c r="G19"/>
    </row>
    <row r="20" spans="4:7" x14ac:dyDescent="0.25">
      <c r="G20"/>
    </row>
    <row r="21" spans="4:7" x14ac:dyDescent="0.25">
      <c r="G21"/>
    </row>
    <row r="22" spans="4:7" x14ac:dyDescent="0.25">
      <c r="G22"/>
    </row>
    <row r="23" spans="4:7" x14ac:dyDescent="0.25">
      <c r="G23"/>
    </row>
    <row r="24" spans="4:7" x14ac:dyDescent="0.25">
      <c r="D24" s="3"/>
      <c r="E24" s="3"/>
      <c r="F24" s="3"/>
      <c r="G24" s="2"/>
    </row>
  </sheetData>
  <mergeCells count="2">
    <mergeCell ref="C4:F4"/>
    <mergeCell ref="G4:J4"/>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4878-AEF0-4E71-AE8E-F4CABDE5F408}">
  <dimension ref="B2:L131"/>
  <sheetViews>
    <sheetView workbookViewId="0">
      <selection activeCell="R28" sqref="R28"/>
    </sheetView>
  </sheetViews>
  <sheetFormatPr defaultRowHeight="15" x14ac:dyDescent="0.25"/>
  <cols>
    <col min="2" max="6" width="12" style="1" customWidth="1"/>
    <col min="7" max="7" width="6.85546875" style="57" customWidth="1"/>
    <col min="8" max="12" width="12" style="1" customWidth="1"/>
  </cols>
  <sheetData>
    <row r="2" spans="2:12" x14ac:dyDescent="0.25">
      <c r="B2" s="56" t="s">
        <v>29</v>
      </c>
    </row>
    <row r="4" spans="2:12" x14ac:dyDescent="0.25">
      <c r="C4" s="73" t="s">
        <v>31</v>
      </c>
      <c r="D4" s="74"/>
      <c r="E4" s="74"/>
      <c r="F4" s="75"/>
      <c r="I4" s="73" t="s">
        <v>30</v>
      </c>
      <c r="J4" s="74"/>
      <c r="K4" s="74"/>
      <c r="L4" s="75"/>
    </row>
    <row r="5" spans="2:12" s="1" customFormat="1" ht="15.75" thickBot="1" x14ac:dyDescent="0.3">
      <c r="B5" s="16" t="s">
        <v>16</v>
      </c>
      <c r="C5" s="16" t="s">
        <v>17</v>
      </c>
      <c r="D5" s="7" t="s">
        <v>18</v>
      </c>
      <c r="E5" s="7" t="s">
        <v>19</v>
      </c>
      <c r="F5" s="10" t="s">
        <v>20</v>
      </c>
      <c r="G5" s="58"/>
      <c r="H5" s="16" t="s">
        <v>16</v>
      </c>
      <c r="I5" s="16" t="s">
        <v>17</v>
      </c>
      <c r="J5" s="7" t="s">
        <v>18</v>
      </c>
      <c r="K5" s="7" t="s">
        <v>19</v>
      </c>
      <c r="L5" s="10" t="s">
        <v>20</v>
      </c>
    </row>
    <row r="6" spans="2:12" ht="15.75" thickTop="1" x14ac:dyDescent="0.25">
      <c r="B6" s="59">
        <v>-73.99999969638894</v>
      </c>
      <c r="C6" s="61">
        <v>122.17421</v>
      </c>
      <c r="D6" s="62">
        <v>66.384769000000006</v>
      </c>
      <c r="E6" s="62">
        <v>81.594925700000005</v>
      </c>
      <c r="F6" s="63">
        <v>90.2329048</v>
      </c>
      <c r="G6" s="12"/>
      <c r="H6" s="59">
        <v>-60.407767415462622</v>
      </c>
      <c r="I6" s="61">
        <v>135.47357199999999</v>
      </c>
      <c r="J6" s="62">
        <v>132.84926199999998</v>
      </c>
      <c r="K6" s="62">
        <v>121.32980400000001</v>
      </c>
      <c r="L6" s="63">
        <v>126.540201</v>
      </c>
    </row>
    <row r="7" spans="2:12" x14ac:dyDescent="0.25">
      <c r="B7" s="59">
        <v>-73.403225505289029</v>
      </c>
      <c r="C7" s="61">
        <v>122.39222199999999</v>
      </c>
      <c r="D7" s="62">
        <v>67.463851399999996</v>
      </c>
      <c r="E7" s="62">
        <v>82.903912899999995</v>
      </c>
      <c r="F7" s="63">
        <v>91.534588799999995</v>
      </c>
      <c r="G7" s="12"/>
      <c r="H7" s="59">
        <v>-59.815534401585538</v>
      </c>
      <c r="I7" s="61">
        <v>136.744429</v>
      </c>
      <c r="J7" s="62">
        <v>133.99849</v>
      </c>
      <c r="K7" s="62">
        <v>122.607328</v>
      </c>
      <c r="L7" s="63">
        <v>127.81571799999999</v>
      </c>
    </row>
    <row r="8" spans="2:12" x14ac:dyDescent="0.25">
      <c r="B8" s="59">
        <v>-72.806451314189118</v>
      </c>
      <c r="C8" s="61">
        <v>122.60579399999999</v>
      </c>
      <c r="D8" s="62">
        <v>68.7556376</v>
      </c>
      <c r="E8" s="62">
        <v>84.203968700000004</v>
      </c>
      <c r="F8" s="63">
        <v>92.815928599999992</v>
      </c>
      <c r="G8" s="12"/>
      <c r="H8" s="59">
        <v>-59.223301387708453</v>
      </c>
      <c r="I8" s="61">
        <v>138.02304699999999</v>
      </c>
      <c r="J8" s="62">
        <v>135.21005400000001</v>
      </c>
      <c r="K8" s="62">
        <v>123.883151</v>
      </c>
      <c r="L8" s="63">
        <v>129.07941099999999</v>
      </c>
    </row>
    <row r="9" spans="2:12" x14ac:dyDescent="0.25">
      <c r="B9" s="59">
        <v>-72.209677123089207</v>
      </c>
      <c r="C9" s="61">
        <v>122.831152</v>
      </c>
      <c r="D9" s="62">
        <v>70.001462199999992</v>
      </c>
      <c r="E9" s="62">
        <v>85.296053400000005</v>
      </c>
      <c r="F9" s="63">
        <v>94.115756899999994</v>
      </c>
      <c r="G9" s="12"/>
      <c r="H9" s="59">
        <v>-58.631068373831368</v>
      </c>
      <c r="I9" s="61">
        <v>139.295356</v>
      </c>
      <c r="J9" s="62">
        <v>136.33387999999999</v>
      </c>
      <c r="K9" s="62">
        <v>125.163397</v>
      </c>
      <c r="L9" s="63">
        <v>130.355245</v>
      </c>
    </row>
    <row r="10" spans="2:12" x14ac:dyDescent="0.25">
      <c r="B10" s="59">
        <v>-71.612902931989296</v>
      </c>
      <c r="C10" s="61">
        <v>123.03416199999999</v>
      </c>
      <c r="D10" s="62">
        <v>71.1530427</v>
      </c>
      <c r="E10" s="62">
        <v>86.493178700000001</v>
      </c>
      <c r="F10" s="63">
        <v>95.421519899999993</v>
      </c>
      <c r="G10" s="12"/>
      <c r="H10" s="59">
        <v>-58.038835359954284</v>
      </c>
      <c r="I10" s="61">
        <v>140.564806</v>
      </c>
      <c r="J10" s="62">
        <v>137.60239199999998</v>
      </c>
      <c r="K10" s="62">
        <v>126.442763</v>
      </c>
      <c r="L10" s="63">
        <v>131.639577</v>
      </c>
    </row>
    <row r="11" spans="2:12" x14ac:dyDescent="0.25">
      <c r="B11" s="59">
        <v>-71.016128740889386</v>
      </c>
      <c r="C11" s="61">
        <v>123.22642900000001</v>
      </c>
      <c r="D11" s="62">
        <v>72.448777899999996</v>
      </c>
      <c r="E11" s="62">
        <v>87.688888699999993</v>
      </c>
      <c r="F11" s="63">
        <v>96.708411800000007</v>
      </c>
      <c r="G11" s="12"/>
      <c r="H11" s="59">
        <v>-57.446602346077199</v>
      </c>
      <c r="I11" s="61">
        <v>141.83514400000001</v>
      </c>
      <c r="J11" s="62">
        <v>138.86527699999999</v>
      </c>
      <c r="K11" s="62">
        <v>127.721744</v>
      </c>
      <c r="L11" s="63">
        <v>132.91248199999998</v>
      </c>
    </row>
    <row r="12" spans="2:12" x14ac:dyDescent="0.25">
      <c r="B12" s="59">
        <v>-70.419354549789475</v>
      </c>
      <c r="C12" s="61">
        <v>123.459222</v>
      </c>
      <c r="D12" s="62">
        <v>73.786877500000003</v>
      </c>
      <c r="E12" s="62">
        <v>88.91944070000001</v>
      </c>
      <c r="F12" s="63">
        <v>98.007496400000008</v>
      </c>
      <c r="G12" s="12"/>
      <c r="H12" s="59">
        <v>-56.854369332200115</v>
      </c>
      <c r="I12" s="61">
        <v>143.097881</v>
      </c>
      <c r="J12" s="62">
        <v>140.13660999999999</v>
      </c>
      <c r="K12" s="62">
        <v>128.99714699999998</v>
      </c>
      <c r="L12" s="63">
        <v>134.18732699999998</v>
      </c>
    </row>
    <row r="13" spans="2:12" x14ac:dyDescent="0.25">
      <c r="B13" s="59">
        <v>-69.822580358689564</v>
      </c>
      <c r="C13" s="61">
        <v>123.65396000000001</v>
      </c>
      <c r="D13" s="62">
        <v>75.100302800000009</v>
      </c>
      <c r="E13" s="62">
        <v>90.095333199999999</v>
      </c>
      <c r="F13" s="63">
        <v>99.301071800000003</v>
      </c>
      <c r="G13" s="12"/>
      <c r="H13" s="59">
        <v>-56.26213631832303</v>
      </c>
      <c r="I13" s="61">
        <v>144.37280100000001</v>
      </c>
      <c r="J13" s="62">
        <v>141.41165799999999</v>
      </c>
      <c r="K13" s="62">
        <v>130.26968099999999</v>
      </c>
      <c r="L13" s="63">
        <v>135.464349</v>
      </c>
    </row>
    <row r="14" spans="2:12" x14ac:dyDescent="0.25">
      <c r="B14" s="59">
        <v>-69.225806167589653</v>
      </c>
      <c r="C14" s="61">
        <v>123.844454</v>
      </c>
      <c r="D14" s="62">
        <v>76.3285372</v>
      </c>
      <c r="E14" s="62">
        <v>91.312611599999997</v>
      </c>
      <c r="F14" s="63">
        <v>100.586939</v>
      </c>
      <c r="G14" s="12"/>
      <c r="H14" s="59">
        <v>-55.669903304445945</v>
      </c>
      <c r="I14" s="61">
        <v>145.638103</v>
      </c>
      <c r="J14" s="62">
        <v>142.68687700000001</v>
      </c>
      <c r="K14" s="62">
        <v>131.537646</v>
      </c>
      <c r="L14" s="63">
        <v>136.72937899999999</v>
      </c>
    </row>
    <row r="15" spans="2:12" x14ac:dyDescent="0.25">
      <c r="B15" s="59">
        <v>-68.629031976489742</v>
      </c>
      <c r="C15" s="61">
        <v>124.034378</v>
      </c>
      <c r="D15" s="62">
        <v>77.507637199999991</v>
      </c>
      <c r="E15" s="62">
        <v>92.4701345</v>
      </c>
      <c r="F15" s="63">
        <v>101.875196</v>
      </c>
      <c r="G15" s="12"/>
      <c r="H15" s="59">
        <v>-55.077670290568861</v>
      </c>
      <c r="I15" s="61">
        <v>146.89489699999999</v>
      </c>
      <c r="J15" s="62">
        <v>143.96161499999999</v>
      </c>
      <c r="K15" s="62">
        <v>132.81630699999999</v>
      </c>
      <c r="L15" s="63">
        <v>137.99994899999999</v>
      </c>
    </row>
    <row r="16" spans="2:12" x14ac:dyDescent="0.25">
      <c r="B16" s="59">
        <v>-68.032257785389831</v>
      </c>
      <c r="C16" s="61">
        <v>124.25916599999999</v>
      </c>
      <c r="D16" s="62">
        <v>78.719908500000003</v>
      </c>
      <c r="E16" s="62">
        <v>93.757026400000001</v>
      </c>
      <c r="F16" s="63">
        <v>103.167563</v>
      </c>
      <c r="G16" s="12"/>
      <c r="H16" s="59">
        <v>-54.485437276691776</v>
      </c>
      <c r="I16" s="61">
        <v>148.15995999999998</v>
      </c>
      <c r="J16" s="62">
        <v>145.22388000000001</v>
      </c>
      <c r="K16" s="62">
        <v>134.09807800000002</v>
      </c>
      <c r="L16" s="63">
        <v>139.275993</v>
      </c>
    </row>
    <row r="17" spans="2:12" x14ac:dyDescent="0.25">
      <c r="B17" s="59">
        <v>-67.43548359428992</v>
      </c>
      <c r="C17" s="61">
        <v>124.48008299999999</v>
      </c>
      <c r="D17" s="62">
        <v>79.897034099999999</v>
      </c>
      <c r="E17" s="62">
        <v>95.060137600000004</v>
      </c>
      <c r="F17" s="63">
        <v>104.462191</v>
      </c>
      <c r="G17" s="12"/>
      <c r="H17" s="59">
        <v>-53.893204262814692</v>
      </c>
      <c r="I17" s="61">
        <v>149.43398199999999</v>
      </c>
      <c r="J17" s="62">
        <v>146.49024299999999</v>
      </c>
      <c r="K17" s="62">
        <v>135.37711899999999</v>
      </c>
      <c r="L17" s="63">
        <v>140.547372</v>
      </c>
    </row>
    <row r="18" spans="2:12" x14ac:dyDescent="0.25">
      <c r="B18" s="59">
        <v>-66.838709403190009</v>
      </c>
      <c r="C18" s="61">
        <v>124.70398</v>
      </c>
      <c r="D18" s="62">
        <v>81.197512000000003</v>
      </c>
      <c r="E18" s="62">
        <v>96.355063000000001</v>
      </c>
      <c r="F18" s="63">
        <v>105.76256100000001</v>
      </c>
      <c r="G18" s="12"/>
      <c r="H18" s="59">
        <v>-53.300971248937607</v>
      </c>
      <c r="I18" s="61">
        <v>150.708606</v>
      </c>
      <c r="J18" s="62">
        <v>147.749932</v>
      </c>
      <c r="K18" s="62">
        <v>136.643508</v>
      </c>
      <c r="L18" s="63">
        <v>141.82128</v>
      </c>
    </row>
    <row r="19" spans="2:12" x14ac:dyDescent="0.25">
      <c r="B19" s="59">
        <v>-66.241935212090098</v>
      </c>
      <c r="C19" s="61">
        <v>124.909375</v>
      </c>
      <c r="D19" s="62">
        <v>82.501571800000008</v>
      </c>
      <c r="E19" s="62">
        <v>97.642522999999997</v>
      </c>
      <c r="F19" s="63">
        <v>107.04618600000001</v>
      </c>
      <c r="G19" s="12"/>
      <c r="H19" s="59">
        <v>-52.708738235060522</v>
      </c>
      <c r="I19" s="61">
        <v>151.725965</v>
      </c>
      <c r="J19" s="62">
        <v>149.0112</v>
      </c>
      <c r="K19" s="62">
        <v>137.925083</v>
      </c>
      <c r="L19" s="63">
        <v>143.08676199999999</v>
      </c>
    </row>
    <row r="20" spans="2:12" x14ac:dyDescent="0.25">
      <c r="B20" s="59">
        <v>-65.645161020990187</v>
      </c>
      <c r="C20" s="61">
        <v>125.124149</v>
      </c>
      <c r="D20" s="62">
        <v>83.808485199999993</v>
      </c>
      <c r="E20" s="62">
        <v>98.937829300000004</v>
      </c>
      <c r="F20" s="63">
        <v>108.33333</v>
      </c>
      <c r="G20" s="12"/>
      <c r="H20" s="59">
        <v>-52.116505221183438</v>
      </c>
      <c r="I20" s="61">
        <v>152.4948</v>
      </c>
      <c r="J20" s="62">
        <v>150.275093</v>
      </c>
      <c r="K20" s="62">
        <v>139.19502</v>
      </c>
      <c r="L20" s="63">
        <v>144.350404</v>
      </c>
    </row>
    <row r="21" spans="2:12" x14ac:dyDescent="0.25">
      <c r="B21" s="59">
        <v>-65.048386829890276</v>
      </c>
      <c r="C21" s="61">
        <v>125.34160199999999</v>
      </c>
      <c r="D21" s="62">
        <v>85.125721999999996</v>
      </c>
      <c r="E21" s="62">
        <v>100.228752</v>
      </c>
      <c r="F21" s="63">
        <v>109.63626600000001</v>
      </c>
      <c r="G21" s="12"/>
      <c r="H21" s="59">
        <v>-51.524272207306353</v>
      </c>
      <c r="I21" s="61">
        <v>152.96445800000001</v>
      </c>
      <c r="J21" s="62">
        <v>151.52880199999998</v>
      </c>
      <c r="K21" s="62">
        <v>140.459856</v>
      </c>
      <c r="L21" s="63">
        <v>145.61505199999999</v>
      </c>
    </row>
    <row r="22" spans="2:12" x14ac:dyDescent="0.25">
      <c r="B22" s="59">
        <v>-64.451612638790365</v>
      </c>
      <c r="C22" s="61">
        <v>125.573966</v>
      </c>
      <c r="D22" s="62">
        <v>86.427974000000006</v>
      </c>
      <c r="E22" s="62">
        <v>101.52005800000001</v>
      </c>
      <c r="F22" s="63">
        <v>110.92864400000001</v>
      </c>
      <c r="G22" s="12"/>
      <c r="H22" s="59">
        <v>-50.932039193429269</v>
      </c>
      <c r="I22" s="61">
        <v>153.32514900000001</v>
      </c>
      <c r="J22" s="62">
        <v>152.370124</v>
      </c>
      <c r="K22" s="62">
        <v>141.72841699999998</v>
      </c>
      <c r="L22" s="63">
        <v>146.87638200000001</v>
      </c>
    </row>
    <row r="23" spans="2:12" x14ac:dyDescent="0.25">
      <c r="B23" s="59">
        <v>-63.854838447690454</v>
      </c>
      <c r="C23" s="61">
        <v>125.810086</v>
      </c>
      <c r="D23" s="62">
        <v>87.734982099999996</v>
      </c>
      <c r="E23" s="62">
        <v>102.81021700000001</v>
      </c>
      <c r="F23" s="63">
        <v>112.219971</v>
      </c>
      <c r="G23" s="12"/>
      <c r="H23" s="59">
        <v>-50.339806179552184</v>
      </c>
      <c r="I23" s="61">
        <v>153.573723</v>
      </c>
      <c r="J23" s="62">
        <v>152.92171500000001</v>
      </c>
      <c r="K23" s="62">
        <v>142.99008600000002</v>
      </c>
      <c r="L23" s="63">
        <v>148.133736</v>
      </c>
    </row>
    <row r="24" spans="2:12" x14ac:dyDescent="0.25">
      <c r="B24" s="59">
        <v>-63.258064256590544</v>
      </c>
      <c r="C24" s="61">
        <v>126.051424</v>
      </c>
      <c r="D24" s="62">
        <v>89.031295</v>
      </c>
      <c r="E24" s="62">
        <v>104.092613</v>
      </c>
      <c r="F24" s="63">
        <v>113.50223</v>
      </c>
      <c r="G24" s="12"/>
      <c r="H24" s="59">
        <v>-49.747573165675099</v>
      </c>
      <c r="I24" s="61">
        <v>153.83037400000001</v>
      </c>
      <c r="J24" s="62">
        <v>153.274677</v>
      </c>
      <c r="K24" s="62">
        <v>144.26617499999998</v>
      </c>
      <c r="L24" s="63">
        <v>149.40598499999999</v>
      </c>
    </row>
    <row r="25" spans="2:12" x14ac:dyDescent="0.25">
      <c r="B25" s="59">
        <v>-62.661290065490633</v>
      </c>
      <c r="C25" s="61">
        <v>126.29677700000001</v>
      </c>
      <c r="D25" s="62">
        <v>90.322255699999999</v>
      </c>
      <c r="E25" s="62">
        <v>105.392668</v>
      </c>
      <c r="F25" s="63">
        <v>114.783901</v>
      </c>
      <c r="G25" s="12"/>
      <c r="H25" s="59">
        <v>-49.155340151798015</v>
      </c>
      <c r="I25" s="61">
        <v>154.03865100000002</v>
      </c>
      <c r="J25" s="62">
        <v>153.55321499999999</v>
      </c>
      <c r="K25" s="62">
        <v>145.532116</v>
      </c>
      <c r="L25" s="63">
        <v>150.67569899999998</v>
      </c>
    </row>
    <row r="26" spans="2:12" x14ac:dyDescent="0.25">
      <c r="B26" s="59">
        <v>-62.064515874390722</v>
      </c>
      <c r="C26" s="61">
        <v>126.542884</v>
      </c>
      <c r="D26" s="62">
        <v>91.621499499999999</v>
      </c>
      <c r="E26" s="62">
        <v>106.688925</v>
      </c>
      <c r="F26" s="63">
        <v>116.075086</v>
      </c>
      <c r="G26" s="12"/>
      <c r="H26" s="59">
        <v>-48.56310713792093</v>
      </c>
      <c r="I26" s="61">
        <v>154.19148000000001</v>
      </c>
      <c r="J26" s="62">
        <v>153.803867</v>
      </c>
      <c r="K26" s="62">
        <v>146.804959</v>
      </c>
      <c r="L26" s="63">
        <v>151.840056</v>
      </c>
    </row>
    <row r="27" spans="2:12" x14ac:dyDescent="0.25">
      <c r="B27" s="59">
        <v>-61.467741683290811</v>
      </c>
      <c r="C27" s="61">
        <v>126.79491899999999</v>
      </c>
      <c r="D27" s="62">
        <v>92.7137697</v>
      </c>
      <c r="E27" s="62">
        <v>107.982788</v>
      </c>
      <c r="F27" s="63">
        <v>117.33618399999999</v>
      </c>
      <c r="G27" s="12"/>
      <c r="H27" s="59">
        <v>-47.970874124043846</v>
      </c>
      <c r="I27" s="61">
        <v>154.329071</v>
      </c>
      <c r="J27" s="62">
        <v>153.99426800000001</v>
      </c>
      <c r="K27" s="62">
        <v>148.06343799999999</v>
      </c>
      <c r="L27" s="63">
        <v>152.56061300000002</v>
      </c>
    </row>
    <row r="28" spans="2:12" x14ac:dyDescent="0.25">
      <c r="B28" s="59">
        <v>-60.8709674921909</v>
      </c>
      <c r="C28" s="61">
        <v>127.05146999999999</v>
      </c>
      <c r="D28" s="62">
        <v>93.994109100000003</v>
      </c>
      <c r="E28" s="62">
        <v>109.27696499999999</v>
      </c>
      <c r="F28" s="63">
        <v>118.632543</v>
      </c>
      <c r="G28" s="12"/>
      <c r="H28" s="59">
        <v>-47.378641110166761</v>
      </c>
      <c r="I28" s="61">
        <v>154.48322899999999</v>
      </c>
      <c r="J28" s="62">
        <v>154.13667599999999</v>
      </c>
      <c r="K28" s="62">
        <v>149.33274499999999</v>
      </c>
      <c r="L28" s="63">
        <v>153.051196</v>
      </c>
    </row>
    <row r="29" spans="2:12" x14ac:dyDescent="0.25">
      <c r="B29" s="59">
        <v>-60.274193301090989</v>
      </c>
      <c r="C29" s="61">
        <v>127.29643899999999</v>
      </c>
      <c r="D29" s="62">
        <v>95.287719500000009</v>
      </c>
      <c r="E29" s="62">
        <v>110.565349</v>
      </c>
      <c r="F29" s="63">
        <v>119.83114399999999</v>
      </c>
      <c r="G29" s="12"/>
      <c r="H29" s="59">
        <v>-46.786408096289676</v>
      </c>
      <c r="I29" s="61">
        <v>154.63626600000001</v>
      </c>
      <c r="J29" s="62">
        <v>154.27409700000001</v>
      </c>
      <c r="K29" s="62">
        <v>150.585452</v>
      </c>
      <c r="L29" s="63">
        <v>153.38311999999999</v>
      </c>
    </row>
    <row r="30" spans="2:12" x14ac:dyDescent="0.25">
      <c r="B30" s="59">
        <v>-59.677419109991078</v>
      </c>
      <c r="C30" s="61">
        <v>127.543431</v>
      </c>
      <c r="D30" s="62">
        <v>96.575571299999993</v>
      </c>
      <c r="E30" s="62">
        <v>111.85606600000001</v>
      </c>
      <c r="F30" s="63">
        <v>120.529529</v>
      </c>
      <c r="G30" s="12"/>
      <c r="H30" s="59">
        <v>-46.194175082412592</v>
      </c>
      <c r="I30" s="61">
        <v>154.81825099999998</v>
      </c>
      <c r="J30" s="62">
        <v>154.429946</v>
      </c>
      <c r="K30" s="62">
        <v>151.76617100000001</v>
      </c>
      <c r="L30" s="63">
        <v>153.63838800000002</v>
      </c>
    </row>
    <row r="31" spans="2:12" x14ac:dyDescent="0.25">
      <c r="B31" s="59">
        <v>-59.080644918891167</v>
      </c>
      <c r="C31" s="61">
        <v>127.796486</v>
      </c>
      <c r="D31" s="62">
        <v>97.867617299999992</v>
      </c>
      <c r="E31" s="62">
        <v>113.146388</v>
      </c>
      <c r="F31" s="63">
        <v>120.911266</v>
      </c>
      <c r="G31" s="12"/>
      <c r="H31" s="59">
        <v>-45.601942068535507</v>
      </c>
      <c r="I31" s="61">
        <v>155.00646900000001</v>
      </c>
      <c r="J31" s="62">
        <v>154.59372099999999</v>
      </c>
      <c r="K31" s="62">
        <v>152.51387700000001</v>
      </c>
      <c r="L31" s="63">
        <v>153.87588</v>
      </c>
    </row>
    <row r="32" spans="2:12" x14ac:dyDescent="0.25">
      <c r="B32" s="59">
        <v>-58.483870727791256</v>
      </c>
      <c r="C32" s="61">
        <v>128.04282799999999</v>
      </c>
      <c r="D32" s="62">
        <v>99.072507400000006</v>
      </c>
      <c r="E32" s="62">
        <v>114.42805499999999</v>
      </c>
      <c r="F32" s="63">
        <v>121.16633800000001</v>
      </c>
      <c r="G32" s="12"/>
      <c r="H32" s="59">
        <v>-45.009709054658423</v>
      </c>
      <c r="I32" s="61">
        <v>155.21587700000001</v>
      </c>
      <c r="J32" s="62">
        <v>154.77453199999999</v>
      </c>
      <c r="K32" s="62">
        <v>152.99550399999998</v>
      </c>
      <c r="L32" s="63">
        <v>154.04568399999999</v>
      </c>
    </row>
    <row r="33" spans="2:12" x14ac:dyDescent="0.25">
      <c r="B33" s="59">
        <v>-57.887096536691345</v>
      </c>
      <c r="C33" s="61">
        <v>128.29893799999999</v>
      </c>
      <c r="D33" s="62">
        <v>100.21949000000001</v>
      </c>
      <c r="E33" s="62">
        <v>115.70911</v>
      </c>
      <c r="F33" s="63">
        <v>121.37034600000001</v>
      </c>
      <c r="G33" s="12"/>
      <c r="H33" s="59">
        <v>-44.417476040781338</v>
      </c>
      <c r="I33" s="61">
        <v>155.42140900000001</v>
      </c>
      <c r="J33" s="62">
        <v>154.97437500000001</v>
      </c>
      <c r="K33" s="62">
        <v>153.31976299999999</v>
      </c>
      <c r="L33" s="63">
        <v>154.18749700000001</v>
      </c>
    </row>
    <row r="34" spans="2:12" x14ac:dyDescent="0.25">
      <c r="B34" s="59">
        <v>-57.290322345591434</v>
      </c>
      <c r="C34" s="61">
        <v>128.548405</v>
      </c>
      <c r="D34" s="62">
        <v>101.431552</v>
      </c>
      <c r="E34" s="62">
        <v>116.994387</v>
      </c>
      <c r="F34" s="63">
        <v>121.58645200000001</v>
      </c>
      <c r="G34" s="12"/>
      <c r="H34" s="59">
        <v>-43.825243026904253</v>
      </c>
      <c r="I34" s="61">
        <v>155.63989000000001</v>
      </c>
      <c r="J34" s="62">
        <v>155.18522700000003</v>
      </c>
      <c r="K34" s="62">
        <v>153.59425300000001</v>
      </c>
      <c r="L34" s="63">
        <v>154.32606200000001</v>
      </c>
    </row>
    <row r="35" spans="2:12" x14ac:dyDescent="0.25">
      <c r="B35" s="59">
        <v>-56.693548154491523</v>
      </c>
      <c r="C35" s="61">
        <v>128.80226099999999</v>
      </c>
      <c r="D35" s="62">
        <v>102.603056</v>
      </c>
      <c r="E35" s="62">
        <v>118.07356200000001</v>
      </c>
      <c r="F35" s="63">
        <v>121.823373</v>
      </c>
      <c r="G35" s="12"/>
      <c r="H35" s="59">
        <v>-43.233010013027169</v>
      </c>
      <c r="I35" s="61">
        <v>155.87710099999998</v>
      </c>
      <c r="J35" s="62">
        <v>155.40929600000001</v>
      </c>
      <c r="K35" s="62">
        <v>153.82900899999999</v>
      </c>
      <c r="L35" s="63">
        <v>154.48226199999999</v>
      </c>
    </row>
    <row r="36" spans="2:12" x14ac:dyDescent="0.25">
      <c r="B36" s="59">
        <v>-56.096773963391612</v>
      </c>
      <c r="C36" s="61">
        <v>129.056501</v>
      </c>
      <c r="D36" s="62">
        <v>103.898526</v>
      </c>
      <c r="E36" s="62">
        <v>119.355677</v>
      </c>
      <c r="F36" s="63">
        <v>122.05099300000001</v>
      </c>
      <c r="G36" s="12"/>
      <c r="H36" s="59">
        <v>-42.640776999150084</v>
      </c>
      <c r="I36" s="61">
        <v>156.12939799999998</v>
      </c>
      <c r="J36" s="62">
        <v>155.63919000000001</v>
      </c>
      <c r="K36" s="62">
        <v>153.98686499999999</v>
      </c>
      <c r="L36" s="63">
        <v>154.65009000000001</v>
      </c>
    </row>
    <row r="37" spans="2:12" x14ac:dyDescent="0.25">
      <c r="B37" s="59">
        <v>-55.499999772291702</v>
      </c>
      <c r="C37" s="61">
        <v>129.31441999999998</v>
      </c>
      <c r="D37" s="62">
        <v>105.17890399999999</v>
      </c>
      <c r="E37" s="62">
        <v>120.29156900000001</v>
      </c>
      <c r="F37" s="63">
        <v>122.306584</v>
      </c>
      <c r="G37" s="12"/>
      <c r="H37" s="59">
        <v>-42.048543985273</v>
      </c>
      <c r="I37" s="61">
        <v>156.35879399999999</v>
      </c>
      <c r="J37" s="62">
        <v>155.86870999999999</v>
      </c>
      <c r="K37" s="62">
        <v>154.129683</v>
      </c>
      <c r="L37" s="63">
        <v>154.82987599999998</v>
      </c>
    </row>
    <row r="38" spans="2:12" x14ac:dyDescent="0.25">
      <c r="B38" s="59">
        <v>-54.903225581191791</v>
      </c>
      <c r="C38" s="61">
        <v>129.56455099999999</v>
      </c>
      <c r="D38" s="62">
        <v>106.484363</v>
      </c>
      <c r="E38" s="62">
        <v>120.798755</v>
      </c>
      <c r="F38" s="63">
        <v>122.52602899999999</v>
      </c>
      <c r="G38" s="12"/>
      <c r="H38" s="59">
        <v>-41.456310971395915</v>
      </c>
      <c r="I38" s="61">
        <v>156.59462200000002</v>
      </c>
      <c r="J38" s="62">
        <v>156.10441399999999</v>
      </c>
      <c r="K38" s="62">
        <v>154.276038</v>
      </c>
      <c r="L38" s="63">
        <v>155.03054</v>
      </c>
    </row>
    <row r="39" spans="2:12" x14ac:dyDescent="0.25">
      <c r="B39" s="59">
        <v>-54.30645139009188</v>
      </c>
      <c r="C39" s="61">
        <v>129.818489</v>
      </c>
      <c r="D39" s="62">
        <v>107.77457399999999</v>
      </c>
      <c r="E39" s="62">
        <v>121.080737</v>
      </c>
      <c r="F39" s="63">
        <v>122.77055</v>
      </c>
      <c r="G39" s="12"/>
      <c r="H39" s="59">
        <v>-40.86407795751883</v>
      </c>
      <c r="I39" s="61">
        <v>156.842252</v>
      </c>
      <c r="J39" s="62">
        <v>156.350301</v>
      </c>
      <c r="K39" s="62">
        <v>154.423396</v>
      </c>
      <c r="L39" s="63">
        <v>155.234118</v>
      </c>
    </row>
    <row r="40" spans="2:12" x14ac:dyDescent="0.25">
      <c r="B40" s="59">
        <v>-53.709677198991969</v>
      </c>
      <c r="C40" s="61">
        <v>130.077945</v>
      </c>
      <c r="D40" s="62">
        <v>109.06256500000001</v>
      </c>
      <c r="E40" s="62">
        <v>121.286114</v>
      </c>
      <c r="F40" s="63">
        <v>123.01639299999999</v>
      </c>
      <c r="G40" s="12"/>
      <c r="H40" s="59">
        <v>-40.271844943641746</v>
      </c>
      <c r="I40" s="61">
        <v>157.08164600000001</v>
      </c>
      <c r="J40" s="62">
        <v>156.60105999999999</v>
      </c>
      <c r="K40" s="62">
        <v>154.599222</v>
      </c>
      <c r="L40" s="63">
        <v>155.465296</v>
      </c>
    </row>
    <row r="41" spans="2:12" x14ac:dyDescent="0.25">
      <c r="B41" s="59">
        <v>-53.112903007892058</v>
      </c>
      <c r="C41" s="61">
        <v>130.32717299999999</v>
      </c>
      <c r="D41" s="62">
        <v>110.36281100000001</v>
      </c>
      <c r="E41" s="62">
        <v>121.47134699999999</v>
      </c>
      <c r="F41" s="63">
        <v>123.25377</v>
      </c>
      <c r="G41" s="12"/>
      <c r="H41" s="59">
        <v>-39.679611929764661</v>
      </c>
      <c r="I41" s="61">
        <v>157.326774</v>
      </c>
      <c r="J41" s="62">
        <v>156.83473000000001</v>
      </c>
      <c r="K41" s="62">
        <v>154.785965</v>
      </c>
      <c r="L41" s="63">
        <v>155.68711100000002</v>
      </c>
    </row>
    <row r="42" spans="2:12" x14ac:dyDescent="0.25">
      <c r="B42" s="59">
        <v>-52.516128816792147</v>
      </c>
      <c r="C42" s="61">
        <v>130.54346200000001</v>
      </c>
      <c r="D42" s="62">
        <v>111.64700199999999</v>
      </c>
      <c r="E42" s="62">
        <v>121.681152</v>
      </c>
      <c r="F42" s="63">
        <v>123.478352</v>
      </c>
      <c r="G42" s="12"/>
      <c r="H42" s="59">
        <v>-39.087378915887577</v>
      </c>
      <c r="I42" s="61">
        <v>157.58418</v>
      </c>
      <c r="J42" s="62">
        <v>157.072903</v>
      </c>
      <c r="K42" s="62">
        <v>154.99462199999999</v>
      </c>
      <c r="L42" s="63">
        <v>155.93201500000001</v>
      </c>
    </row>
    <row r="43" spans="2:12" x14ac:dyDescent="0.25">
      <c r="B43" s="59">
        <v>-51.919354625692236</v>
      </c>
      <c r="C43" s="61">
        <v>130.75042099999999</v>
      </c>
      <c r="D43" s="62">
        <v>112.72141499999999</v>
      </c>
      <c r="E43" s="62">
        <v>121.877606</v>
      </c>
      <c r="F43" s="63">
        <v>123.684511</v>
      </c>
      <c r="G43" s="12"/>
      <c r="H43" s="59">
        <v>-38.495145902010492</v>
      </c>
      <c r="I43" s="61">
        <v>157.81897499999999</v>
      </c>
      <c r="J43" s="62">
        <v>157.32437999999999</v>
      </c>
      <c r="K43" s="62">
        <v>155.22522099999998</v>
      </c>
      <c r="L43" s="63">
        <v>156.17236600000001</v>
      </c>
    </row>
    <row r="44" spans="2:12" x14ac:dyDescent="0.25">
      <c r="B44" s="59">
        <v>-51.322580434592325</v>
      </c>
      <c r="C44" s="61">
        <v>130.86657199999999</v>
      </c>
      <c r="D44" s="62">
        <v>114.004693</v>
      </c>
      <c r="E44" s="62">
        <v>122.105422</v>
      </c>
      <c r="F44" s="63">
        <v>123.905496</v>
      </c>
      <c r="G44" s="12"/>
      <c r="H44" s="59">
        <v>-37.902912888133407</v>
      </c>
      <c r="I44" s="61">
        <v>158.07025899999999</v>
      </c>
      <c r="J44" s="62">
        <v>157.56423100000001</v>
      </c>
      <c r="K44" s="62">
        <v>155.44667800000002</v>
      </c>
      <c r="L44" s="63">
        <v>156.41344899999999</v>
      </c>
    </row>
    <row r="45" spans="2:12" x14ac:dyDescent="0.25">
      <c r="B45" s="59">
        <v>-50.725806243492414</v>
      </c>
      <c r="C45" s="61">
        <v>130.942126</v>
      </c>
      <c r="D45" s="62">
        <v>115.19466300000001</v>
      </c>
      <c r="E45" s="62">
        <v>122.359054</v>
      </c>
      <c r="F45" s="63">
        <v>124.100739</v>
      </c>
      <c r="G45" s="12"/>
      <c r="H45" s="59">
        <v>-37.310679874256323</v>
      </c>
      <c r="I45" s="61">
        <v>158.31352999999999</v>
      </c>
      <c r="J45" s="62">
        <v>157.80920699999999</v>
      </c>
      <c r="K45" s="62">
        <v>155.67957000000001</v>
      </c>
      <c r="L45" s="63">
        <v>156.67283799999998</v>
      </c>
    </row>
    <row r="46" spans="2:12" x14ac:dyDescent="0.25">
      <c r="B46" s="59">
        <v>-50.129032052392503</v>
      </c>
      <c r="C46" s="61">
        <v>130.95945399999999</v>
      </c>
      <c r="D46" s="62">
        <v>116.354556</v>
      </c>
      <c r="E46" s="62">
        <v>122.596234</v>
      </c>
      <c r="F46" s="63">
        <v>124.314432</v>
      </c>
      <c r="G46" s="12"/>
      <c r="H46" s="59">
        <v>-36.718446860379238</v>
      </c>
      <c r="I46" s="61">
        <v>158.554543</v>
      </c>
      <c r="J46" s="62">
        <v>158.053301</v>
      </c>
      <c r="K46" s="62">
        <v>155.91516300000001</v>
      </c>
      <c r="L46" s="63">
        <v>156.86911600000002</v>
      </c>
    </row>
    <row r="47" spans="2:12" x14ac:dyDescent="0.25">
      <c r="B47" s="59">
        <v>-49.532257861292592</v>
      </c>
      <c r="C47" s="61">
        <v>130.953045</v>
      </c>
      <c r="D47" s="62">
        <v>117.55214599999999</v>
      </c>
      <c r="E47" s="62">
        <v>122.82953900000001</v>
      </c>
      <c r="F47" s="63">
        <v>124.516076</v>
      </c>
      <c r="G47" s="12"/>
      <c r="H47" s="59">
        <v>-36.126213846502154</v>
      </c>
      <c r="I47" s="61">
        <v>158.801785</v>
      </c>
      <c r="J47" s="62">
        <v>158.299173</v>
      </c>
      <c r="K47" s="62">
        <v>156.15836199999998</v>
      </c>
      <c r="L47" s="63">
        <v>157.10118400000002</v>
      </c>
    </row>
    <row r="48" spans="2:12" x14ac:dyDescent="0.25">
      <c r="B48" s="59">
        <v>-48.935483670192681</v>
      </c>
      <c r="C48" s="61">
        <v>130.91837799999999</v>
      </c>
      <c r="D48" s="62">
        <v>118.7077</v>
      </c>
      <c r="E48" s="62">
        <v>123.06125999999999</v>
      </c>
      <c r="F48" s="63">
        <v>124.74666400000001</v>
      </c>
      <c r="G48" s="12"/>
      <c r="H48" s="59">
        <v>-35.533980832625069</v>
      </c>
      <c r="I48" s="61">
        <v>159.04507999999998</v>
      </c>
      <c r="J48" s="62">
        <v>158.543813</v>
      </c>
      <c r="K48" s="62">
        <v>156.39710399999998</v>
      </c>
      <c r="L48" s="63">
        <v>157.309135</v>
      </c>
    </row>
    <row r="49" spans="2:12" x14ac:dyDescent="0.25">
      <c r="B49" s="59">
        <v>-48.33870947909277</v>
      </c>
      <c r="C49" s="61">
        <v>130.890728</v>
      </c>
      <c r="D49" s="62">
        <v>119.91407599999999</v>
      </c>
      <c r="E49" s="62">
        <v>123.292519</v>
      </c>
      <c r="F49" s="63">
        <v>124.962773</v>
      </c>
      <c r="G49" s="12"/>
      <c r="H49" s="59">
        <v>-34.941747818747984</v>
      </c>
      <c r="I49" s="61">
        <v>159.284809</v>
      </c>
      <c r="J49" s="62">
        <v>158.79037299999999</v>
      </c>
      <c r="K49" s="62">
        <v>156.63672399999999</v>
      </c>
      <c r="L49" s="63">
        <v>157.53611799999999</v>
      </c>
    </row>
    <row r="50" spans="2:12" x14ac:dyDescent="0.25">
      <c r="B50" s="59">
        <v>-47.74193528799286</v>
      </c>
      <c r="C50" s="61">
        <v>130.85563400000001</v>
      </c>
      <c r="D50" s="62">
        <v>120.61046899999999</v>
      </c>
      <c r="E50" s="62">
        <v>123.51735499999999</v>
      </c>
      <c r="F50" s="63">
        <v>125.20350199999999</v>
      </c>
      <c r="G50" s="12"/>
      <c r="H50" s="59">
        <v>-34.3495148048709</v>
      </c>
      <c r="I50" s="61">
        <v>159.54263</v>
      </c>
      <c r="J50" s="62">
        <v>159.04737899999998</v>
      </c>
      <c r="K50" s="62">
        <v>156.88209000000001</v>
      </c>
      <c r="L50" s="63">
        <v>157.75312599999998</v>
      </c>
    </row>
    <row r="51" spans="2:12" x14ac:dyDescent="0.25">
      <c r="B51" s="59">
        <v>-47.145161096892949</v>
      </c>
      <c r="C51" s="61">
        <v>130.83566999999999</v>
      </c>
      <c r="D51" s="62">
        <v>121.00298600000001</v>
      </c>
      <c r="E51" s="62">
        <v>123.741461</v>
      </c>
      <c r="F51" s="63">
        <v>125.43375999999999</v>
      </c>
      <c r="G51" s="12"/>
      <c r="H51" s="59">
        <v>-33.757281790993815</v>
      </c>
      <c r="I51" s="61">
        <v>159.782633</v>
      </c>
      <c r="J51" s="62">
        <v>159.28771799999998</v>
      </c>
      <c r="K51" s="62">
        <v>157.08753400000001</v>
      </c>
      <c r="L51" s="63">
        <v>158.00304199999999</v>
      </c>
    </row>
    <row r="52" spans="2:12" x14ac:dyDescent="0.25">
      <c r="B52" s="59">
        <v>-46.548386905793038</v>
      </c>
      <c r="C52" s="61">
        <v>130.822182</v>
      </c>
      <c r="D52" s="62">
        <v>121.241587</v>
      </c>
      <c r="E52" s="62">
        <v>123.965059</v>
      </c>
      <c r="F52" s="63">
        <v>125.668893</v>
      </c>
      <c r="G52" s="12"/>
      <c r="H52" s="59">
        <v>-33.165048777116731</v>
      </c>
      <c r="I52" s="61">
        <v>160.023695</v>
      </c>
      <c r="J52" s="62">
        <v>159.534436</v>
      </c>
      <c r="K52" s="62">
        <v>157.33140900000001</v>
      </c>
      <c r="L52" s="63">
        <v>158.24348000000001</v>
      </c>
    </row>
    <row r="53" spans="2:12" x14ac:dyDescent="0.25">
      <c r="B53" s="59">
        <v>-45.951612714693127</v>
      </c>
      <c r="C53" s="61">
        <v>130.81081499999999</v>
      </c>
      <c r="D53" s="62">
        <v>121.45236100000001</v>
      </c>
      <c r="E53" s="62">
        <v>124.19068700000001</v>
      </c>
      <c r="F53" s="63">
        <v>125.911095</v>
      </c>
      <c r="G53" s="12"/>
      <c r="H53" s="59">
        <v>-32.572815763239646</v>
      </c>
      <c r="I53" s="61">
        <v>160.278629</v>
      </c>
      <c r="J53" s="62">
        <v>159.782895</v>
      </c>
      <c r="K53" s="62">
        <v>157.523098</v>
      </c>
      <c r="L53" s="63">
        <v>158.49607999999998</v>
      </c>
    </row>
    <row r="54" spans="2:12" x14ac:dyDescent="0.25">
      <c r="B54" s="59">
        <v>-45.354838523593216</v>
      </c>
      <c r="C54" s="61">
        <v>130.79738399999999</v>
      </c>
      <c r="D54" s="62">
        <v>121.67485799999999</v>
      </c>
      <c r="E54" s="62">
        <v>124.428389</v>
      </c>
      <c r="F54" s="63">
        <v>126.155214</v>
      </c>
      <c r="G54" s="12"/>
      <c r="H54" s="59">
        <v>-31.980582749362565</v>
      </c>
      <c r="I54" s="61">
        <v>160.53175200000001</v>
      </c>
      <c r="J54" s="62">
        <v>160.04740799999999</v>
      </c>
      <c r="K54" s="62">
        <v>157.75846200000001</v>
      </c>
      <c r="L54" s="63">
        <v>158.74241499999999</v>
      </c>
    </row>
    <row r="55" spans="2:12" x14ac:dyDescent="0.25">
      <c r="B55" s="59">
        <v>-44.758064332493305</v>
      </c>
      <c r="C55" s="61">
        <v>130.78349900000001</v>
      </c>
      <c r="D55" s="62">
        <v>121.89032499999999</v>
      </c>
      <c r="E55" s="62">
        <v>124.66086100000001</v>
      </c>
      <c r="F55" s="63">
        <v>126.40678299999999</v>
      </c>
      <c r="G55" s="12"/>
      <c r="H55" s="59">
        <v>-31.38834973548548</v>
      </c>
      <c r="I55" s="61">
        <v>160.790032</v>
      </c>
      <c r="J55" s="62">
        <v>160.299238</v>
      </c>
      <c r="K55" s="62">
        <v>157.97711699999999</v>
      </c>
      <c r="L55" s="63">
        <v>158.98718599999998</v>
      </c>
    </row>
    <row r="56" spans="2:12" x14ac:dyDescent="0.25">
      <c r="B56" s="59">
        <v>-44.161290141393394</v>
      </c>
      <c r="C56" s="61">
        <v>130.766829</v>
      </c>
      <c r="D56" s="62">
        <v>122.11903</v>
      </c>
      <c r="E56" s="62">
        <v>124.901132</v>
      </c>
      <c r="F56" s="63">
        <v>126.645146</v>
      </c>
      <c r="G56" s="12"/>
      <c r="H56" s="59">
        <v>-30.796116721608396</v>
      </c>
      <c r="I56" s="61">
        <v>161.03258499999998</v>
      </c>
      <c r="J56" s="62">
        <v>160.54281</v>
      </c>
      <c r="K56" s="62">
        <v>158.227768</v>
      </c>
      <c r="L56" s="63">
        <v>159.238416</v>
      </c>
    </row>
    <row r="57" spans="2:12" x14ac:dyDescent="0.25">
      <c r="B57" s="59">
        <v>-43.564515950293483</v>
      </c>
      <c r="C57" s="61">
        <v>130.73872800000001</v>
      </c>
      <c r="D57" s="62">
        <v>122.357468</v>
      </c>
      <c r="E57" s="62">
        <v>125.137198</v>
      </c>
      <c r="F57" s="63">
        <v>126.90218399999999</v>
      </c>
      <c r="G57" s="12"/>
      <c r="H57" s="59">
        <v>-30.203883707731311</v>
      </c>
      <c r="I57" s="61">
        <v>161.27827199999999</v>
      </c>
      <c r="J57" s="62">
        <v>160.79068100000001</v>
      </c>
      <c r="K57" s="62">
        <v>158.47468000000001</v>
      </c>
      <c r="L57" s="63">
        <v>159.489103</v>
      </c>
    </row>
    <row r="58" spans="2:12" x14ac:dyDescent="0.25">
      <c r="B58" s="59">
        <v>-42.967741759193572</v>
      </c>
      <c r="C58" s="61">
        <v>130.71997500000001</v>
      </c>
      <c r="D58" s="62">
        <v>122.604049</v>
      </c>
      <c r="E58" s="62">
        <v>125.36654700000001</v>
      </c>
      <c r="F58" s="63">
        <v>127.147228</v>
      </c>
      <c r="G58" s="12"/>
      <c r="H58" s="59">
        <v>-29.611650693854227</v>
      </c>
      <c r="I58" s="61">
        <v>161.542518</v>
      </c>
      <c r="J58" s="62">
        <v>161.043072</v>
      </c>
      <c r="K58" s="62">
        <v>158.72953700000002</v>
      </c>
      <c r="L58" s="63">
        <v>159.74048400000001</v>
      </c>
    </row>
    <row r="59" spans="2:12" x14ac:dyDescent="0.25">
      <c r="B59" s="59">
        <v>-42.370967568093661</v>
      </c>
      <c r="C59" s="61">
        <v>130.69970699999999</v>
      </c>
      <c r="D59" s="62">
        <v>122.83579300000001</v>
      </c>
      <c r="E59" s="62">
        <v>125.609829</v>
      </c>
      <c r="F59" s="63">
        <v>127.40198699999999</v>
      </c>
      <c r="G59" s="12"/>
      <c r="H59" s="59">
        <v>-29.019417679977142</v>
      </c>
      <c r="I59" s="61">
        <v>161.78961100000001</v>
      </c>
      <c r="J59" s="62">
        <v>161.29021700000001</v>
      </c>
      <c r="K59" s="62">
        <v>158.98557699999998</v>
      </c>
      <c r="L59" s="63">
        <v>159.99254399999998</v>
      </c>
    </row>
    <row r="60" spans="2:12" x14ac:dyDescent="0.25">
      <c r="B60" s="59">
        <v>-41.77419337699375</v>
      </c>
      <c r="C60" s="61">
        <v>130.676131</v>
      </c>
      <c r="D60" s="62">
        <v>123.067418</v>
      </c>
      <c r="E60" s="62">
        <v>125.85362499999999</v>
      </c>
      <c r="F60" s="63">
        <v>127.647277</v>
      </c>
      <c r="G60" s="12"/>
      <c r="H60" s="59">
        <v>-28.427184666100057</v>
      </c>
      <c r="I60" s="61">
        <v>162.04975899999999</v>
      </c>
      <c r="J60" s="62">
        <v>161.542429</v>
      </c>
      <c r="K60" s="62">
        <v>159.234475</v>
      </c>
      <c r="L60" s="63">
        <v>160.25444099999999</v>
      </c>
    </row>
    <row r="61" spans="2:12" x14ac:dyDescent="0.25">
      <c r="B61" s="59">
        <v>-41.177419185893839</v>
      </c>
      <c r="C61" s="61">
        <v>130.644938</v>
      </c>
      <c r="D61" s="62">
        <v>123.306273</v>
      </c>
      <c r="E61" s="62">
        <v>126.10397599999999</v>
      </c>
      <c r="F61" s="63">
        <v>127.91608100000001</v>
      </c>
      <c r="G61" s="12"/>
      <c r="H61" s="59">
        <v>-27.834951652222973</v>
      </c>
      <c r="I61" s="61">
        <v>162.29699400000001</v>
      </c>
      <c r="J61" s="62">
        <v>161.79734999999999</v>
      </c>
      <c r="K61" s="62">
        <v>159.48452499999999</v>
      </c>
      <c r="L61" s="63">
        <v>160.498817</v>
      </c>
    </row>
    <row r="62" spans="2:12" x14ac:dyDescent="0.25">
      <c r="B62" s="59">
        <v>-40.580644994793929</v>
      </c>
      <c r="C62" s="61">
        <v>130.61850699999999</v>
      </c>
      <c r="D62" s="62">
        <v>123.533807</v>
      </c>
      <c r="E62" s="62">
        <v>126.350852</v>
      </c>
      <c r="F62" s="63">
        <v>128.16959900000001</v>
      </c>
      <c r="G62" s="12"/>
      <c r="H62" s="59">
        <v>-27.242718638345888</v>
      </c>
      <c r="I62" s="61">
        <v>162.55254199999999</v>
      </c>
      <c r="J62" s="62">
        <v>162.045424</v>
      </c>
      <c r="K62" s="62">
        <v>159.73250300000001</v>
      </c>
      <c r="L62" s="63">
        <v>160.748289</v>
      </c>
    </row>
    <row r="63" spans="2:12" x14ac:dyDescent="0.25">
      <c r="B63" s="59">
        <v>-39.983870803694018</v>
      </c>
      <c r="C63" s="61">
        <v>130.592175</v>
      </c>
      <c r="D63" s="62">
        <v>123.756186</v>
      </c>
      <c r="E63" s="62">
        <v>126.60312500000001</v>
      </c>
      <c r="F63" s="63">
        <v>128.41116499999998</v>
      </c>
      <c r="G63" s="12"/>
      <c r="H63" s="59">
        <v>-26.650485624468804</v>
      </c>
      <c r="I63" s="61">
        <v>162.80160500000002</v>
      </c>
      <c r="J63" s="62">
        <v>162.30725099999998</v>
      </c>
      <c r="K63" s="62">
        <v>159.987053</v>
      </c>
      <c r="L63" s="63">
        <v>161.00215100000003</v>
      </c>
    </row>
    <row r="64" spans="2:12" x14ac:dyDescent="0.25">
      <c r="B64" s="59">
        <v>-39.387096612594107</v>
      </c>
      <c r="C64" s="61">
        <v>130.567421</v>
      </c>
      <c r="D64" s="62">
        <v>123.977915</v>
      </c>
      <c r="E64" s="62">
        <v>126.850767</v>
      </c>
      <c r="F64" s="63">
        <v>128.659627</v>
      </c>
      <c r="G64" s="12"/>
      <c r="H64" s="59">
        <v>-26.058252610591719</v>
      </c>
      <c r="I64" s="61">
        <v>163.04139600000002</v>
      </c>
      <c r="J64" s="62">
        <v>162.55923499999997</v>
      </c>
      <c r="K64" s="62">
        <v>160.2396</v>
      </c>
      <c r="L64" s="63">
        <v>161.25454300000001</v>
      </c>
    </row>
    <row r="65" spans="2:12" x14ac:dyDescent="0.25">
      <c r="B65" s="59">
        <v>-38.790322421494196</v>
      </c>
      <c r="C65" s="61">
        <v>130.54572199999998</v>
      </c>
      <c r="D65" s="62">
        <v>124.20761900000001</v>
      </c>
      <c r="E65" s="62">
        <v>127.101134</v>
      </c>
      <c r="F65" s="63">
        <v>128.90983800000001</v>
      </c>
      <c r="G65" s="12"/>
      <c r="H65" s="59">
        <v>-25.466019596714634</v>
      </c>
      <c r="I65" s="61">
        <v>163.308536</v>
      </c>
      <c r="J65" s="62">
        <v>162.80773600000001</v>
      </c>
      <c r="K65" s="62">
        <v>160.481674</v>
      </c>
      <c r="L65" s="63">
        <v>161.512057</v>
      </c>
    </row>
    <row r="66" spans="2:12" x14ac:dyDescent="0.25">
      <c r="B66" s="59">
        <v>-38.193548230394285</v>
      </c>
      <c r="C66" s="61">
        <v>130.52935500000001</v>
      </c>
      <c r="D66" s="62">
        <v>124.43425900000001</v>
      </c>
      <c r="E66" s="62">
        <v>127.34850999999999</v>
      </c>
      <c r="F66" s="63">
        <v>129.179847</v>
      </c>
      <c r="G66" s="12"/>
      <c r="H66" s="59">
        <v>-24.87378658283755</v>
      </c>
      <c r="I66" s="61">
        <v>163.56010500000002</v>
      </c>
      <c r="J66" s="62">
        <v>163.061531</v>
      </c>
      <c r="K66" s="62">
        <v>160.731155</v>
      </c>
      <c r="L66" s="63">
        <v>161.75978700000002</v>
      </c>
    </row>
    <row r="67" spans="2:12" x14ac:dyDescent="0.25">
      <c r="B67" s="59">
        <v>-37.596774039294374</v>
      </c>
      <c r="C67" s="61">
        <v>130.515501</v>
      </c>
      <c r="D67" s="62">
        <v>124.662963</v>
      </c>
      <c r="E67" s="62">
        <v>127.58994199999999</v>
      </c>
      <c r="F67" s="63">
        <v>129.430556</v>
      </c>
      <c r="G67" s="12"/>
      <c r="H67" s="59">
        <v>-24.281553568960465</v>
      </c>
      <c r="I67" s="61">
        <v>163.803876</v>
      </c>
      <c r="J67" s="62">
        <v>163.315856</v>
      </c>
      <c r="K67" s="62">
        <v>160.98416599999999</v>
      </c>
      <c r="L67" s="63">
        <v>162.00665000000001</v>
      </c>
    </row>
    <row r="68" spans="2:12" x14ac:dyDescent="0.25">
      <c r="B68" s="59">
        <v>-36.999999848194463</v>
      </c>
      <c r="C68" s="61">
        <v>130.50567799999999</v>
      </c>
      <c r="D68" s="62">
        <v>124.89192</v>
      </c>
      <c r="E68" s="62">
        <v>127.836507</v>
      </c>
      <c r="F68" s="63">
        <v>129.679136</v>
      </c>
      <c r="G68" s="12"/>
      <c r="H68" s="59">
        <v>-23.689320555083381</v>
      </c>
      <c r="I68" s="61">
        <v>164.059</v>
      </c>
      <c r="J68" s="62">
        <v>163.574952</v>
      </c>
      <c r="K68" s="62">
        <v>161.23477799999998</v>
      </c>
      <c r="L68" s="63">
        <v>162.260391</v>
      </c>
    </row>
    <row r="69" spans="2:12" x14ac:dyDescent="0.25">
      <c r="B69" s="59">
        <v>-36.403225657094552</v>
      </c>
      <c r="C69" s="61">
        <v>130.49713800000001</v>
      </c>
      <c r="D69" s="62">
        <v>125.129684</v>
      </c>
      <c r="E69" s="62">
        <v>128.08897300000001</v>
      </c>
      <c r="F69" s="63">
        <v>129.94389999999999</v>
      </c>
      <c r="G69" s="12"/>
      <c r="H69" s="59">
        <v>-23.097087541206296</v>
      </c>
      <c r="I69" s="61">
        <v>164.308199</v>
      </c>
      <c r="J69" s="62">
        <v>163.82695199999998</v>
      </c>
      <c r="K69" s="62">
        <v>161.47787899999997</v>
      </c>
      <c r="L69" s="63">
        <v>162.51930300000001</v>
      </c>
    </row>
    <row r="70" spans="2:12" x14ac:dyDescent="0.25">
      <c r="B70" s="59">
        <v>-35.806451465994641</v>
      </c>
      <c r="C70" s="61">
        <v>130.491094</v>
      </c>
      <c r="D70" s="62">
        <v>125.36621000000001</v>
      </c>
      <c r="E70" s="62">
        <v>128.35048399999999</v>
      </c>
      <c r="F70" s="63">
        <v>130.19888499999999</v>
      </c>
      <c r="G70" s="12"/>
      <c r="H70" s="59">
        <v>-22.504854527329211</v>
      </c>
      <c r="I70" s="61">
        <v>164.57049799999999</v>
      </c>
      <c r="J70" s="62">
        <v>164.08185900000001</v>
      </c>
      <c r="K70" s="62">
        <v>161.73352299999999</v>
      </c>
      <c r="L70" s="63">
        <v>162.763116</v>
      </c>
    </row>
    <row r="71" spans="2:12" x14ac:dyDescent="0.25">
      <c r="B71" s="59">
        <v>-35.20967727489473</v>
      </c>
      <c r="C71" s="61">
        <v>130.48681200000001</v>
      </c>
      <c r="D71" s="62">
        <v>125.60884799999999</v>
      </c>
      <c r="E71" s="62">
        <v>128.60401400000001</v>
      </c>
      <c r="F71" s="63">
        <v>130.433142</v>
      </c>
      <c r="G71" s="12"/>
      <c r="H71" s="59">
        <v>-21.912621513452127</v>
      </c>
      <c r="I71" s="61">
        <v>164.78349</v>
      </c>
      <c r="J71" s="62">
        <v>164.34443900000002</v>
      </c>
      <c r="K71" s="62">
        <v>161.98498800000002</v>
      </c>
      <c r="L71" s="63">
        <v>163.02218100000002</v>
      </c>
    </row>
    <row r="72" spans="2:12" x14ac:dyDescent="0.25">
      <c r="B72" s="59">
        <v>-34.612903083794819</v>
      </c>
      <c r="C72" s="61">
        <v>130.48374800000002</v>
      </c>
      <c r="D72" s="62">
        <v>125.852565</v>
      </c>
      <c r="E72" s="62">
        <v>128.85485199999999</v>
      </c>
      <c r="F72" s="63">
        <v>130.58936</v>
      </c>
      <c r="G72" s="12"/>
      <c r="H72" s="59">
        <v>-21.320388499575042</v>
      </c>
      <c r="I72" s="61">
        <v>165.00851800000001</v>
      </c>
      <c r="J72" s="62">
        <v>164.59524400000001</v>
      </c>
      <c r="K72" s="62">
        <v>162.22901999999999</v>
      </c>
      <c r="L72" s="63">
        <v>163.27716699999999</v>
      </c>
    </row>
    <row r="73" spans="2:12" x14ac:dyDescent="0.25">
      <c r="B73" s="59">
        <v>-34.016128892694908</v>
      </c>
      <c r="C73" s="61">
        <v>130.48259100000001</v>
      </c>
      <c r="D73" s="62">
        <v>126.09810499999999</v>
      </c>
      <c r="E73" s="62">
        <v>129.112649</v>
      </c>
      <c r="F73" s="63">
        <v>130.662758</v>
      </c>
      <c r="G73" s="12"/>
      <c r="H73" s="59">
        <v>-20.728155485697958</v>
      </c>
      <c r="I73" s="61">
        <v>165.18089699999999</v>
      </c>
      <c r="J73" s="62">
        <v>164.846217</v>
      </c>
      <c r="K73" s="62">
        <v>162.48435899999998</v>
      </c>
      <c r="L73" s="63">
        <v>163.52097700000002</v>
      </c>
    </row>
    <row r="74" spans="2:12" x14ac:dyDescent="0.25">
      <c r="B74" s="59">
        <v>-33.419354701594997</v>
      </c>
      <c r="C74" s="61">
        <v>130.481583</v>
      </c>
      <c r="D74" s="62">
        <v>126.34554799999999</v>
      </c>
      <c r="E74" s="62">
        <v>129.329657</v>
      </c>
      <c r="F74" s="63">
        <v>130.69899100000001</v>
      </c>
      <c r="G74" s="12"/>
      <c r="H74" s="59">
        <v>-20.135922471820873</v>
      </c>
      <c r="I74" s="61">
        <v>165.31454300000001</v>
      </c>
      <c r="J74" s="62">
        <v>165.05645899999999</v>
      </c>
      <c r="K74" s="62">
        <v>162.73133999999999</v>
      </c>
      <c r="L74" s="63">
        <v>163.77775599999998</v>
      </c>
    </row>
    <row r="75" spans="2:12" x14ac:dyDescent="0.25">
      <c r="B75" s="59">
        <v>-32.822580510495087</v>
      </c>
      <c r="C75" s="61">
        <v>130.48044100000001</v>
      </c>
      <c r="D75" s="62">
        <v>126.59201700000001</v>
      </c>
      <c r="E75" s="62">
        <v>129.584126</v>
      </c>
      <c r="F75" s="63">
        <v>130.68982299999999</v>
      </c>
      <c r="G75" s="12"/>
      <c r="H75" s="59">
        <v>-19.543689457943788</v>
      </c>
      <c r="I75" s="61">
        <v>165.40849900000001</v>
      </c>
      <c r="J75" s="62">
        <v>165.20864699999998</v>
      </c>
      <c r="K75" s="62">
        <v>162.987819</v>
      </c>
      <c r="L75" s="63">
        <v>164.03468599999999</v>
      </c>
    </row>
    <row r="76" spans="2:12" x14ac:dyDescent="0.25">
      <c r="B76" s="59">
        <v>-32.225806319395176</v>
      </c>
      <c r="C76" s="61">
        <v>130.47872900000002</v>
      </c>
      <c r="D76" s="62">
        <v>126.837487</v>
      </c>
      <c r="E76" s="62">
        <v>129.82647</v>
      </c>
      <c r="F76" s="63">
        <v>130.67103500000002</v>
      </c>
      <c r="G76" s="12"/>
      <c r="H76" s="59">
        <v>-18.951456444066704</v>
      </c>
      <c r="I76" s="61">
        <v>165.45861499999998</v>
      </c>
      <c r="J76" s="62">
        <v>165.31067999999999</v>
      </c>
      <c r="K76" s="62">
        <v>163.245665</v>
      </c>
      <c r="L76" s="63">
        <v>164.29123100000001</v>
      </c>
    </row>
    <row r="77" spans="2:12" x14ac:dyDescent="0.25">
      <c r="B77" s="59">
        <v>-31.629032128295265</v>
      </c>
      <c r="C77" s="61">
        <v>130.478835</v>
      </c>
      <c r="D77" s="62">
        <v>127.08864</v>
      </c>
      <c r="E77" s="62">
        <v>130.06216800000001</v>
      </c>
      <c r="F77" s="63">
        <v>130.65382399999999</v>
      </c>
      <c r="G77" s="12"/>
      <c r="H77" s="59">
        <v>-18.359223430189619</v>
      </c>
      <c r="I77" s="61">
        <v>165.48392000000001</v>
      </c>
      <c r="J77" s="62">
        <v>165.369057</v>
      </c>
      <c r="K77" s="62">
        <v>163.49360200000001</v>
      </c>
      <c r="L77" s="63">
        <v>164.54024200000001</v>
      </c>
    </row>
    <row r="78" spans="2:12" x14ac:dyDescent="0.25">
      <c r="B78" s="59">
        <v>-31.032257937195354</v>
      </c>
      <c r="C78" s="61">
        <v>130.47874899999999</v>
      </c>
      <c r="D78" s="62">
        <v>127.34124800000001</v>
      </c>
      <c r="E78" s="62">
        <v>130.30333199999998</v>
      </c>
      <c r="F78" s="63">
        <v>130.638937</v>
      </c>
      <c r="G78" s="12"/>
      <c r="H78" s="59">
        <v>-17.766990416312535</v>
      </c>
      <c r="I78" s="61">
        <v>165.50199799999999</v>
      </c>
      <c r="J78" s="62">
        <v>165.39365599999999</v>
      </c>
      <c r="K78" s="62">
        <v>163.75088099999999</v>
      </c>
      <c r="L78" s="63">
        <v>164.79316</v>
      </c>
    </row>
    <row r="79" spans="2:12" x14ac:dyDescent="0.25">
      <c r="B79" s="59">
        <v>-30.435483746095443</v>
      </c>
      <c r="C79" s="61">
        <v>130.47873200000001</v>
      </c>
      <c r="D79" s="62">
        <v>127.59150199999999</v>
      </c>
      <c r="E79" s="62">
        <v>130.49257700000001</v>
      </c>
      <c r="F79" s="63">
        <v>130.62247500000001</v>
      </c>
      <c r="G79" s="12"/>
      <c r="H79" s="59">
        <v>-17.17475740243545</v>
      </c>
      <c r="I79" s="61">
        <v>165.53763800000002</v>
      </c>
      <c r="J79" s="62">
        <v>165.42692000000002</v>
      </c>
      <c r="K79" s="62">
        <v>164.00082399999999</v>
      </c>
      <c r="L79" s="63">
        <v>164.992065</v>
      </c>
    </row>
    <row r="80" spans="2:12" x14ac:dyDescent="0.25">
      <c r="B80" s="59">
        <v>-29.838709554995532</v>
      </c>
      <c r="C80" s="61">
        <v>130.47758100000001</v>
      </c>
      <c r="D80" s="62">
        <v>127.843053</v>
      </c>
      <c r="E80" s="62">
        <v>130.63600500000001</v>
      </c>
      <c r="F80" s="63">
        <v>130.60940600000001</v>
      </c>
      <c r="G80" s="12"/>
      <c r="H80" s="59">
        <v>-16.582524388558365</v>
      </c>
      <c r="I80" s="61">
        <v>165.592476</v>
      </c>
      <c r="J80" s="62">
        <v>165.47787599999998</v>
      </c>
      <c r="K80" s="62">
        <v>164.259829</v>
      </c>
      <c r="L80" s="63">
        <v>165.15843900000002</v>
      </c>
    </row>
    <row r="81" spans="2:12" x14ac:dyDescent="0.25">
      <c r="B81" s="59">
        <v>-29.241935363895621</v>
      </c>
      <c r="C81" s="61">
        <v>130.477045</v>
      </c>
      <c r="D81" s="62">
        <v>128.09547499999999</v>
      </c>
      <c r="E81" s="62">
        <v>130.70925500000001</v>
      </c>
      <c r="F81" s="63">
        <v>130.59698</v>
      </c>
      <c r="G81" s="12"/>
      <c r="H81" s="59">
        <v>-15.990291374681282</v>
      </c>
      <c r="I81" s="61">
        <v>165.61962199999999</v>
      </c>
      <c r="J81" s="62">
        <v>165.51602700000001</v>
      </c>
      <c r="K81" s="62">
        <v>164.514342</v>
      </c>
      <c r="L81" s="63">
        <v>165.24686</v>
      </c>
    </row>
    <row r="82" spans="2:12" x14ac:dyDescent="0.25">
      <c r="B82" s="59">
        <v>-28.64516117279571</v>
      </c>
      <c r="C82" s="61">
        <v>130.476844</v>
      </c>
      <c r="D82" s="62">
        <v>128.349189</v>
      </c>
      <c r="E82" s="62">
        <v>130.73349099999999</v>
      </c>
      <c r="F82" s="63">
        <v>130.57537300000001</v>
      </c>
      <c r="G82" s="12"/>
      <c r="H82" s="59">
        <v>-15.398058360804198</v>
      </c>
      <c r="I82" s="61">
        <v>165.60069200000001</v>
      </c>
      <c r="J82" s="62">
        <v>165.548711</v>
      </c>
      <c r="K82" s="62">
        <v>164.772786</v>
      </c>
      <c r="L82" s="63">
        <v>165.30402699999999</v>
      </c>
    </row>
    <row r="83" spans="2:12" x14ac:dyDescent="0.25">
      <c r="B83" s="59">
        <v>-28.048386981695799</v>
      </c>
      <c r="C83" s="61">
        <v>130.47533999999999</v>
      </c>
      <c r="D83" s="62">
        <v>128.602881</v>
      </c>
      <c r="E83" s="62">
        <v>130.72839299999998</v>
      </c>
      <c r="F83" s="63">
        <v>130.56616700000001</v>
      </c>
      <c r="G83" s="12"/>
      <c r="H83" s="59">
        <v>-14.805825346927113</v>
      </c>
      <c r="I83" s="61">
        <v>165.54186900000002</v>
      </c>
      <c r="J83" s="62">
        <v>165.52327</v>
      </c>
      <c r="K83" s="62">
        <v>165.00326199999998</v>
      </c>
      <c r="L83" s="63">
        <v>165.32509400000001</v>
      </c>
    </row>
    <row r="84" spans="2:12" x14ac:dyDescent="0.25">
      <c r="B84" s="59">
        <v>-27.451612790595888</v>
      </c>
      <c r="C84" s="61">
        <v>130.47416099999998</v>
      </c>
      <c r="D84" s="62">
        <v>128.86018899999999</v>
      </c>
      <c r="E84" s="62">
        <v>130.70645500000001</v>
      </c>
      <c r="F84" s="63">
        <v>130.55365700000002</v>
      </c>
      <c r="G84" s="12"/>
      <c r="H84" s="59">
        <v>-14.213592333050029</v>
      </c>
      <c r="I84" s="61">
        <v>165.45950299999998</v>
      </c>
      <c r="J84" s="62">
        <v>165.452384</v>
      </c>
      <c r="K84" s="62">
        <v>165.15297899999999</v>
      </c>
      <c r="L84" s="63">
        <v>165.346766</v>
      </c>
    </row>
    <row r="85" spans="2:12" x14ac:dyDescent="0.25">
      <c r="B85" s="59">
        <v>-26.854838599495977</v>
      </c>
      <c r="C85" s="61">
        <v>130.47317999999999</v>
      </c>
      <c r="D85" s="62">
        <v>129.11293700000002</v>
      </c>
      <c r="E85" s="62">
        <v>130.68217300000001</v>
      </c>
      <c r="F85" s="63">
        <v>130.53679099999999</v>
      </c>
      <c r="G85" s="12"/>
      <c r="H85" s="59">
        <v>-13.621359319172944</v>
      </c>
      <c r="I85" s="61">
        <v>165.38181499999999</v>
      </c>
      <c r="J85" s="62">
        <v>165.37767700000001</v>
      </c>
      <c r="K85" s="62">
        <v>165.25037899999998</v>
      </c>
      <c r="L85" s="63">
        <v>165.36923400000001</v>
      </c>
    </row>
    <row r="86" spans="2:12" x14ac:dyDescent="0.25">
      <c r="B86" s="59">
        <v>-26.258064408396066</v>
      </c>
      <c r="C86" s="61">
        <v>130.47241400000001</v>
      </c>
      <c r="D86" s="62">
        <v>129.36813100000001</v>
      </c>
      <c r="E86" s="62">
        <v>130.670244</v>
      </c>
      <c r="F86" s="63">
        <v>130.51290399999999</v>
      </c>
      <c r="G86" s="12"/>
      <c r="H86" s="59">
        <v>-13.029126305295859</v>
      </c>
      <c r="I86" s="61">
        <v>165.30959200000001</v>
      </c>
      <c r="J86" s="62">
        <v>165.29850099999999</v>
      </c>
      <c r="K86" s="62">
        <v>165.30535200000003</v>
      </c>
      <c r="L86" s="63">
        <v>165.41410000000002</v>
      </c>
    </row>
    <row r="87" spans="2:12" x14ac:dyDescent="0.25">
      <c r="B87" s="59">
        <v>-25.661290217296155</v>
      </c>
      <c r="C87" s="61">
        <v>130.471419</v>
      </c>
      <c r="D87" s="62">
        <v>129.623819</v>
      </c>
      <c r="E87" s="62">
        <v>130.65644500000002</v>
      </c>
      <c r="F87" s="63">
        <v>130.483237</v>
      </c>
      <c r="G87" s="12"/>
      <c r="H87" s="59">
        <v>-12.436893291418775</v>
      </c>
      <c r="I87" s="61">
        <v>165.244809</v>
      </c>
      <c r="J87" s="62">
        <v>165.222646</v>
      </c>
      <c r="K87" s="62">
        <v>165.34352299999998</v>
      </c>
      <c r="L87" s="63">
        <v>165.45728</v>
      </c>
    </row>
    <row r="88" spans="2:12" x14ac:dyDescent="0.25">
      <c r="B88" s="59">
        <v>-25.064516026196245</v>
      </c>
      <c r="C88" s="61">
        <v>130.47030699999999</v>
      </c>
      <c r="D88" s="62">
        <v>129.877128</v>
      </c>
      <c r="E88" s="62">
        <v>130.643989</v>
      </c>
      <c r="F88" s="63">
        <v>130.44801899999999</v>
      </c>
      <c r="G88" s="12"/>
      <c r="H88" s="59">
        <v>-11.84466027754169</v>
      </c>
      <c r="I88" s="61">
        <v>165.18779800000002</v>
      </c>
      <c r="J88" s="62">
        <v>165.15248</v>
      </c>
      <c r="K88" s="62">
        <v>165.37128200000001</v>
      </c>
      <c r="L88" s="63">
        <v>165.48164600000001</v>
      </c>
    </row>
    <row r="89" spans="2:12" x14ac:dyDescent="0.25">
      <c r="B89" s="59">
        <v>-24.467741835096334</v>
      </c>
      <c r="C89" s="61">
        <v>130.470023</v>
      </c>
      <c r="D89" s="62">
        <v>130.13260099999999</v>
      </c>
      <c r="E89" s="62">
        <v>130.631878</v>
      </c>
      <c r="F89" s="63">
        <v>130.414996</v>
      </c>
      <c r="G89" s="12"/>
      <c r="H89" s="59">
        <v>-11.252427263664606</v>
      </c>
      <c r="I89" s="61">
        <v>165.13864799999999</v>
      </c>
      <c r="J89" s="62">
        <v>165.09587999999999</v>
      </c>
      <c r="K89" s="62">
        <v>165.41914199999999</v>
      </c>
      <c r="L89" s="63">
        <v>165.45059000000001</v>
      </c>
    </row>
    <row r="90" spans="2:12" x14ac:dyDescent="0.25">
      <c r="B90" s="59">
        <v>-23.870967643996423</v>
      </c>
      <c r="C90" s="61">
        <v>130.468716</v>
      </c>
      <c r="D90" s="62">
        <v>130.38777199999998</v>
      </c>
      <c r="E90" s="62">
        <v>130.620248</v>
      </c>
      <c r="F90" s="63">
        <v>130.38503800000001</v>
      </c>
      <c r="G90" s="12"/>
      <c r="H90" s="59">
        <v>-10.660194249787521</v>
      </c>
      <c r="I90" s="61">
        <v>165.09707599999999</v>
      </c>
      <c r="J90" s="62">
        <v>165.049802</v>
      </c>
      <c r="K90" s="62">
        <v>165.47268199999999</v>
      </c>
      <c r="L90" s="63">
        <v>165.38847799999999</v>
      </c>
    </row>
    <row r="91" spans="2:12" x14ac:dyDescent="0.25">
      <c r="B91" s="59">
        <v>-23.274193452896512</v>
      </c>
      <c r="C91" s="61">
        <v>130.46748199999999</v>
      </c>
      <c r="D91" s="62">
        <v>130.58586099999999</v>
      </c>
      <c r="E91" s="62">
        <v>130.60371599999999</v>
      </c>
      <c r="F91" s="63">
        <v>130.35820200000001</v>
      </c>
      <c r="G91" s="12"/>
      <c r="H91" s="59">
        <v>-10.067961235910436</v>
      </c>
      <c r="I91" s="61">
        <v>165.06068299999998</v>
      </c>
      <c r="J91" s="62">
        <v>165.00899900000002</v>
      </c>
      <c r="K91" s="62">
        <v>165.49815599999999</v>
      </c>
      <c r="L91" s="63">
        <v>165.31158199999999</v>
      </c>
    </row>
    <row r="92" spans="2:12" x14ac:dyDescent="0.25">
      <c r="B92" s="59">
        <v>-22.677419261796601</v>
      </c>
      <c r="C92" s="61">
        <v>130.46513000000002</v>
      </c>
      <c r="D92" s="62">
        <v>130.706411</v>
      </c>
      <c r="E92" s="62">
        <v>130.58992499999999</v>
      </c>
      <c r="F92" s="63">
        <v>130.33632499999999</v>
      </c>
      <c r="G92" s="12"/>
      <c r="H92" s="59">
        <v>-9.4757282220333519</v>
      </c>
      <c r="I92" s="61">
        <v>165.02982299999999</v>
      </c>
      <c r="J92" s="62">
        <v>164.97469899999999</v>
      </c>
      <c r="K92" s="62">
        <v>165.47177500000001</v>
      </c>
      <c r="L92" s="63">
        <v>165.233789</v>
      </c>
    </row>
    <row r="93" spans="2:12" x14ac:dyDescent="0.25">
      <c r="B93" s="59">
        <v>-22.08064507069669</v>
      </c>
      <c r="C93" s="61">
        <v>130.46389200000002</v>
      </c>
      <c r="D93" s="62">
        <v>130.76316599999998</v>
      </c>
      <c r="E93" s="62">
        <v>130.572462</v>
      </c>
      <c r="F93" s="63">
        <v>130.31899899999999</v>
      </c>
      <c r="G93" s="12"/>
      <c r="H93" s="59">
        <v>-8.8834952081562673</v>
      </c>
      <c r="I93" s="61">
        <v>165.004402</v>
      </c>
      <c r="J93" s="62">
        <v>164.94455400000001</v>
      </c>
      <c r="K93" s="62">
        <v>165.40496599999997</v>
      </c>
      <c r="L93" s="63">
        <v>165.170097</v>
      </c>
    </row>
    <row r="94" spans="2:12" x14ac:dyDescent="0.25">
      <c r="B94" s="59">
        <v>-21.483870879596779</v>
      </c>
      <c r="C94" s="61">
        <v>130.46278900000001</v>
      </c>
      <c r="D94" s="62">
        <v>130.77753200000001</v>
      </c>
      <c r="E94" s="62">
        <v>130.54928699999999</v>
      </c>
      <c r="F94" s="63">
        <v>130.30604</v>
      </c>
      <c r="G94" s="12"/>
      <c r="H94" s="59">
        <v>-8.2912621942791827</v>
      </c>
      <c r="I94" s="61">
        <v>164.98385000000002</v>
      </c>
      <c r="J94" s="62">
        <v>164.91786999999999</v>
      </c>
      <c r="K94" s="62">
        <v>165.32991799999999</v>
      </c>
      <c r="L94" s="63">
        <v>165.10941299999999</v>
      </c>
    </row>
    <row r="95" spans="2:12" x14ac:dyDescent="0.25">
      <c r="B95" s="59">
        <v>-20.887096688496868</v>
      </c>
      <c r="C95" s="61">
        <v>130.46150399999999</v>
      </c>
      <c r="D95" s="62">
        <v>130.76669100000001</v>
      </c>
      <c r="E95" s="62">
        <v>130.52022299999999</v>
      </c>
      <c r="F95" s="63">
        <v>130.295523</v>
      </c>
      <c r="G95" s="12"/>
      <c r="H95" s="59">
        <v>-7.6990291804020989</v>
      </c>
      <c r="I95" s="61">
        <v>164.967626</v>
      </c>
      <c r="J95" s="62">
        <v>164.89589699999999</v>
      </c>
      <c r="K95" s="62">
        <v>165.257927</v>
      </c>
      <c r="L95" s="63">
        <v>165.059485</v>
      </c>
    </row>
    <row r="96" spans="2:12" x14ac:dyDescent="0.25">
      <c r="B96" s="59">
        <v>-20.290322497396957</v>
      </c>
      <c r="C96" s="61">
        <v>130.45934</v>
      </c>
      <c r="D96" s="62">
        <v>130.744246</v>
      </c>
      <c r="E96" s="62">
        <v>130.488922</v>
      </c>
      <c r="F96" s="63">
        <v>130.288523</v>
      </c>
      <c r="G96" s="12"/>
      <c r="H96" s="59">
        <v>-7.1067961665250143</v>
      </c>
      <c r="I96" s="61">
        <v>164.95486700000001</v>
      </c>
      <c r="J96" s="62">
        <v>164.877261</v>
      </c>
      <c r="K96" s="62">
        <v>165.18401500000002</v>
      </c>
      <c r="L96" s="63">
        <v>165.00917999999999</v>
      </c>
    </row>
    <row r="97" spans="2:12" x14ac:dyDescent="0.25">
      <c r="B97" s="59">
        <v>-19.693548306297046</v>
      </c>
      <c r="C97" s="61">
        <v>130.45754700000001</v>
      </c>
      <c r="D97" s="62">
        <v>130.720472</v>
      </c>
      <c r="E97" s="62">
        <v>130.457446</v>
      </c>
      <c r="F97" s="63">
        <v>130.28242900000001</v>
      </c>
      <c r="G97" s="12"/>
      <c r="H97" s="59">
        <v>-6.5145631526479297</v>
      </c>
      <c r="I97" s="61">
        <v>164.94461100000001</v>
      </c>
      <c r="J97" s="62">
        <v>164.86346799999998</v>
      </c>
      <c r="K97" s="62">
        <v>165.124922</v>
      </c>
      <c r="L97" s="63">
        <v>164.965283</v>
      </c>
    </row>
    <row r="98" spans="2:12" x14ac:dyDescent="0.25">
      <c r="B98" s="59">
        <v>-19.096774115197135</v>
      </c>
      <c r="C98" s="61">
        <v>130.45529300000001</v>
      </c>
      <c r="D98" s="62">
        <v>130.70004700000001</v>
      </c>
      <c r="E98" s="62">
        <v>130.42792600000001</v>
      </c>
      <c r="F98" s="63">
        <v>130.27810600000001</v>
      </c>
      <c r="G98" s="12"/>
      <c r="H98" s="59">
        <v>-5.9223301387708451</v>
      </c>
      <c r="I98" s="61">
        <v>164.937163</v>
      </c>
      <c r="J98" s="62">
        <v>164.85214199999999</v>
      </c>
      <c r="K98" s="62">
        <v>165.068397</v>
      </c>
      <c r="L98" s="63">
        <v>164.92855799999998</v>
      </c>
    </row>
    <row r="99" spans="2:12" x14ac:dyDescent="0.25">
      <c r="B99" s="59">
        <v>-18.499999924097224</v>
      </c>
      <c r="C99" s="61">
        <v>130.45496400000002</v>
      </c>
      <c r="D99" s="62">
        <v>130.68521699999999</v>
      </c>
      <c r="E99" s="62">
        <v>130.402759</v>
      </c>
      <c r="F99" s="63">
        <v>130.27614299999999</v>
      </c>
      <c r="G99" s="12"/>
      <c r="H99" s="59">
        <v>-5.3300971248937605</v>
      </c>
      <c r="I99" s="61">
        <v>164.93305900000001</v>
      </c>
      <c r="J99" s="62">
        <v>164.843242</v>
      </c>
      <c r="K99" s="62">
        <v>165.019451</v>
      </c>
      <c r="L99" s="63">
        <v>164.89712800000001</v>
      </c>
    </row>
    <row r="100" spans="2:12" x14ac:dyDescent="0.25">
      <c r="B100" s="59">
        <v>-17.903225732997313</v>
      </c>
      <c r="C100" s="61">
        <v>130.45341300000001</v>
      </c>
      <c r="D100" s="62">
        <v>130.67450700000001</v>
      </c>
      <c r="E100" s="62">
        <v>130.384106</v>
      </c>
      <c r="F100" s="63">
        <v>130.27604199999999</v>
      </c>
      <c r="G100" s="12"/>
      <c r="H100" s="59">
        <v>-4.7378641110166759</v>
      </c>
      <c r="I100" s="61">
        <v>164.92888300000001</v>
      </c>
      <c r="J100" s="62">
        <v>164.83894800000002</v>
      </c>
      <c r="K100" s="62">
        <v>164.97755699999999</v>
      </c>
      <c r="L100" s="63">
        <v>164.870587</v>
      </c>
    </row>
    <row r="101" spans="2:12" x14ac:dyDescent="0.25">
      <c r="B101" s="59">
        <v>-17.306451541897403</v>
      </c>
      <c r="C101" s="61">
        <v>130.452417</v>
      </c>
      <c r="D101" s="62">
        <v>130.66557900000001</v>
      </c>
      <c r="E101" s="62">
        <v>130.36588899999998</v>
      </c>
      <c r="F101" s="63">
        <v>130.275948</v>
      </c>
      <c r="G101" s="12"/>
      <c r="H101" s="59">
        <v>-4.1456310971395913</v>
      </c>
      <c r="I101" s="61">
        <v>164.92585299999999</v>
      </c>
      <c r="J101" s="62">
        <v>164.83558499999998</v>
      </c>
      <c r="K101" s="62">
        <v>164.941056</v>
      </c>
      <c r="L101" s="63">
        <v>164.84998100000001</v>
      </c>
    </row>
    <row r="102" spans="2:12" x14ac:dyDescent="0.25">
      <c r="B102" s="59">
        <v>-16.709677350797492</v>
      </c>
      <c r="C102" s="61">
        <v>130.45140799999999</v>
      </c>
      <c r="D102" s="62">
        <v>130.655496</v>
      </c>
      <c r="E102" s="62">
        <v>130.35183800000001</v>
      </c>
      <c r="F102" s="63">
        <v>130.274675</v>
      </c>
      <c r="G102" s="12"/>
      <c r="H102" s="59">
        <v>-3.5533980832625072</v>
      </c>
      <c r="I102" s="61">
        <v>164.92374600000002</v>
      </c>
      <c r="J102" s="62">
        <v>164.83316600000001</v>
      </c>
      <c r="K102" s="62">
        <v>164.91279900000001</v>
      </c>
      <c r="L102" s="63">
        <v>164.83408</v>
      </c>
    </row>
    <row r="103" spans="2:12" x14ac:dyDescent="0.25">
      <c r="B103" s="59">
        <v>-16.112903159697581</v>
      </c>
      <c r="C103" s="61">
        <v>130.450264</v>
      </c>
      <c r="D103" s="62">
        <v>130.64207300000001</v>
      </c>
      <c r="E103" s="62">
        <v>130.34047799999999</v>
      </c>
      <c r="F103" s="63">
        <v>130.27344500000001</v>
      </c>
      <c r="G103" s="12"/>
      <c r="H103" s="59">
        <v>-2.9611650693854226</v>
      </c>
      <c r="I103" s="61">
        <v>164.92158499999999</v>
      </c>
      <c r="J103" s="62">
        <v>164.83262100000002</v>
      </c>
      <c r="K103" s="62">
        <v>164.886101</v>
      </c>
      <c r="L103" s="63">
        <v>164.822326</v>
      </c>
    </row>
    <row r="104" spans="2:12" x14ac:dyDescent="0.25">
      <c r="B104" s="59">
        <v>-15.51612896859767</v>
      </c>
      <c r="C104" s="61">
        <v>130.44949099999999</v>
      </c>
      <c r="D104" s="62">
        <v>130.62728999999999</v>
      </c>
      <c r="E104" s="62">
        <v>130.33189400000001</v>
      </c>
      <c r="F104" s="63">
        <v>130.27384000000001</v>
      </c>
      <c r="G104" s="12"/>
      <c r="H104" s="59">
        <v>-2.368932055508338</v>
      </c>
      <c r="I104" s="61">
        <v>164.92222700000002</v>
      </c>
      <c r="J104" s="62">
        <v>164.831964</v>
      </c>
      <c r="K104" s="62">
        <v>164.86644000000001</v>
      </c>
      <c r="L104" s="63">
        <v>164.813243</v>
      </c>
    </row>
    <row r="105" spans="2:12" x14ac:dyDescent="0.25">
      <c r="B105" s="59">
        <v>-14.919354777497759</v>
      </c>
      <c r="C105" s="61">
        <v>130.44895199999999</v>
      </c>
      <c r="D105" s="62">
        <v>130.60880900000001</v>
      </c>
      <c r="E105" s="62">
        <v>130.32458800000001</v>
      </c>
      <c r="F105" s="63">
        <v>130.274002</v>
      </c>
      <c r="G105" s="12"/>
      <c r="H105" s="59">
        <v>-1.7766990416312534</v>
      </c>
      <c r="I105" s="61">
        <v>164.92447300000001</v>
      </c>
      <c r="J105" s="62">
        <v>164.832188</v>
      </c>
      <c r="K105" s="62">
        <v>164.84956500000001</v>
      </c>
      <c r="L105" s="63">
        <v>164.80584099999999</v>
      </c>
    </row>
    <row r="106" spans="2:12" x14ac:dyDescent="0.25">
      <c r="B106" s="59">
        <v>-14.322580586397848</v>
      </c>
      <c r="C106" s="61">
        <v>130.44660000000002</v>
      </c>
      <c r="D106" s="62">
        <v>130.585398</v>
      </c>
      <c r="E106" s="62">
        <v>130.31925200000001</v>
      </c>
      <c r="F106" s="63">
        <v>130.27301399999999</v>
      </c>
      <c r="G106" s="12"/>
      <c r="H106" s="59">
        <v>-1.184466027754169</v>
      </c>
      <c r="I106" s="61">
        <v>164.923967</v>
      </c>
      <c r="J106" s="62">
        <v>164.832413</v>
      </c>
      <c r="K106" s="62">
        <v>164.83944600000001</v>
      </c>
      <c r="L106" s="63">
        <v>164.802064</v>
      </c>
    </row>
    <row r="107" spans="2:12" x14ac:dyDescent="0.25">
      <c r="B107" s="59">
        <v>-13.725806395297937</v>
      </c>
      <c r="C107" s="61">
        <v>130.44523900000002</v>
      </c>
      <c r="D107" s="62">
        <v>130.56261599999999</v>
      </c>
      <c r="E107" s="62">
        <v>130.31604400000001</v>
      </c>
      <c r="F107" s="63">
        <v>130.273608</v>
      </c>
      <c r="G107" s="12"/>
      <c r="H107" s="59">
        <v>-0.59223301387708449</v>
      </c>
      <c r="I107" s="61">
        <v>164.92497899999998</v>
      </c>
      <c r="J107" s="62">
        <v>164.833584</v>
      </c>
      <c r="K107" s="62">
        <v>164.83077799999998</v>
      </c>
      <c r="L107" s="63">
        <v>164.79948099999999</v>
      </c>
    </row>
    <row r="108" spans="2:12" x14ac:dyDescent="0.25">
      <c r="B108" s="59">
        <v>-13.129032204198026</v>
      </c>
      <c r="C108" s="61">
        <v>130.44518399999998</v>
      </c>
      <c r="D108" s="62">
        <v>130.53258700000001</v>
      </c>
      <c r="E108" s="62">
        <v>130.31302499999998</v>
      </c>
      <c r="F108" s="63">
        <v>130.27283800000001</v>
      </c>
      <c r="G108" s="12"/>
      <c r="H108" s="59">
        <v>0</v>
      </c>
      <c r="I108" s="61">
        <v>164.92570900000001</v>
      </c>
      <c r="J108" s="62">
        <v>164.83473900000001</v>
      </c>
      <c r="K108" s="62">
        <v>164.824309</v>
      </c>
      <c r="L108" s="63">
        <v>164.79604</v>
      </c>
    </row>
    <row r="109" spans="2:12" x14ac:dyDescent="0.25">
      <c r="B109" s="59">
        <v>-12.532258013098115</v>
      </c>
      <c r="C109" s="61">
        <v>130.44516000000002</v>
      </c>
      <c r="D109" s="62">
        <v>130.50457799999998</v>
      </c>
      <c r="E109" s="62">
        <v>130.31128100000001</v>
      </c>
      <c r="F109" s="63">
        <v>130.274102</v>
      </c>
      <c r="G109" s="12"/>
      <c r="H109" s="60">
        <v>0.59223301387708449</v>
      </c>
      <c r="I109" s="64">
        <v>4.6085993099999998</v>
      </c>
      <c r="J109" s="65">
        <v>70.045492800000005</v>
      </c>
      <c r="K109" s="65">
        <v>103.74841599999999</v>
      </c>
      <c r="L109" s="66">
        <v>51.929926099999996</v>
      </c>
    </row>
    <row r="110" spans="2:12" x14ac:dyDescent="0.25">
      <c r="B110" s="59">
        <v>-11.935483821998204</v>
      </c>
      <c r="C110" s="61">
        <v>130.44386500000002</v>
      </c>
      <c r="D110" s="62">
        <v>130.47657100000001</v>
      </c>
      <c r="E110" s="62">
        <v>130.31053299999999</v>
      </c>
      <c r="F110" s="63">
        <v>130.27425700000001</v>
      </c>
    </row>
    <row r="111" spans="2:12" x14ac:dyDescent="0.25">
      <c r="B111" s="59">
        <v>-11.338709630898293</v>
      </c>
      <c r="C111" s="61">
        <v>130.44244</v>
      </c>
      <c r="D111" s="62">
        <v>130.45260000000002</v>
      </c>
      <c r="E111" s="62">
        <v>130.30979300000001</v>
      </c>
      <c r="F111" s="63">
        <v>130.27330699999999</v>
      </c>
    </row>
    <row r="112" spans="2:12" x14ac:dyDescent="0.25">
      <c r="B112" s="59">
        <v>-10.741935439798382</v>
      </c>
      <c r="C112" s="61">
        <v>130.44120699999999</v>
      </c>
      <c r="D112" s="62">
        <v>130.429823</v>
      </c>
      <c r="E112" s="62">
        <v>130.30889999999999</v>
      </c>
      <c r="F112" s="63">
        <v>130.27231699999999</v>
      </c>
    </row>
    <row r="113" spans="2:6" x14ac:dyDescent="0.25">
      <c r="B113" s="59">
        <v>-10.145161248698471</v>
      </c>
      <c r="C113" s="61">
        <v>130.44013899999999</v>
      </c>
      <c r="D113" s="62">
        <v>130.41077300000001</v>
      </c>
      <c r="E113" s="62">
        <v>130.30778900000001</v>
      </c>
      <c r="F113" s="63">
        <v>130.27142900000001</v>
      </c>
    </row>
    <row r="114" spans="2:6" x14ac:dyDescent="0.25">
      <c r="B114" s="59">
        <v>-9.5483870575985605</v>
      </c>
      <c r="C114" s="61">
        <v>130.439064</v>
      </c>
      <c r="D114" s="62">
        <v>130.395805</v>
      </c>
      <c r="E114" s="62">
        <v>130.307671</v>
      </c>
      <c r="F114" s="63">
        <v>130.270826</v>
      </c>
    </row>
    <row r="115" spans="2:6" x14ac:dyDescent="0.25">
      <c r="B115" s="59">
        <v>-8.9516128664986496</v>
      </c>
      <c r="C115" s="61">
        <v>130.437173</v>
      </c>
      <c r="D115" s="62">
        <v>130.38342600000001</v>
      </c>
      <c r="E115" s="62">
        <v>130.30781400000001</v>
      </c>
      <c r="F115" s="63">
        <v>130.27126200000001</v>
      </c>
    </row>
    <row r="116" spans="2:6" x14ac:dyDescent="0.25">
      <c r="B116" s="59">
        <v>-8.3548386753987405</v>
      </c>
      <c r="C116" s="61">
        <v>130.435856</v>
      </c>
      <c r="D116" s="62">
        <v>130.37530999999998</v>
      </c>
      <c r="E116" s="62">
        <v>130.30711600000001</v>
      </c>
      <c r="F116" s="63">
        <v>130.27199099999999</v>
      </c>
    </row>
    <row r="117" spans="2:6" x14ac:dyDescent="0.25">
      <c r="B117" s="59">
        <v>-7.7580644842988304</v>
      </c>
      <c r="C117" s="61">
        <v>130.43429</v>
      </c>
      <c r="D117" s="62">
        <v>130.367153</v>
      </c>
      <c r="E117" s="62">
        <v>130.307299</v>
      </c>
      <c r="F117" s="63">
        <v>130.27183400000001</v>
      </c>
    </row>
    <row r="118" spans="2:6" x14ac:dyDescent="0.25">
      <c r="B118" s="59">
        <v>-7.1612902931989204</v>
      </c>
      <c r="C118" s="61">
        <v>130.43357900000001</v>
      </c>
      <c r="D118" s="62">
        <v>130.360826</v>
      </c>
      <c r="E118" s="62">
        <v>130.30769599999999</v>
      </c>
      <c r="F118" s="63">
        <v>130.27060400000002</v>
      </c>
    </row>
    <row r="119" spans="2:6" x14ac:dyDescent="0.25">
      <c r="B119" s="59">
        <v>-6.5645161020990104</v>
      </c>
      <c r="C119" s="61">
        <v>130.432953</v>
      </c>
      <c r="D119" s="62">
        <v>130.357991</v>
      </c>
      <c r="E119" s="62">
        <v>130.30757600000001</v>
      </c>
      <c r="F119" s="63">
        <v>130.26911999999999</v>
      </c>
    </row>
    <row r="120" spans="2:6" x14ac:dyDescent="0.25">
      <c r="B120" s="59">
        <v>-5.9677419109991003</v>
      </c>
      <c r="C120" s="61">
        <v>130.430913</v>
      </c>
      <c r="D120" s="62">
        <v>130.35578000000001</v>
      </c>
      <c r="E120" s="62">
        <v>130.30783099999999</v>
      </c>
      <c r="F120" s="63">
        <v>130.268272</v>
      </c>
    </row>
    <row r="121" spans="2:6" x14ac:dyDescent="0.25">
      <c r="B121" s="59">
        <v>-5.3709677198991903</v>
      </c>
      <c r="C121" s="61">
        <v>130.42703499999999</v>
      </c>
      <c r="D121" s="62">
        <v>130.35477499999999</v>
      </c>
      <c r="E121" s="62">
        <v>130.30830599999999</v>
      </c>
      <c r="F121" s="63">
        <v>130.2706</v>
      </c>
    </row>
    <row r="122" spans="2:6" x14ac:dyDescent="0.25">
      <c r="B122" s="59">
        <v>-4.7741935287992803</v>
      </c>
      <c r="C122" s="61">
        <v>130.42475899999999</v>
      </c>
      <c r="D122" s="62">
        <v>130.35315299999999</v>
      </c>
      <c r="E122" s="62">
        <v>130.30750399999999</v>
      </c>
      <c r="F122" s="63">
        <v>130.270208</v>
      </c>
    </row>
    <row r="123" spans="2:6" x14ac:dyDescent="0.25">
      <c r="B123" s="59">
        <v>-4.1774193376993702</v>
      </c>
      <c r="C123" s="61">
        <v>130.42121900000001</v>
      </c>
      <c r="D123" s="62">
        <v>130.352238</v>
      </c>
      <c r="E123" s="62">
        <v>130.308446</v>
      </c>
      <c r="F123" s="63">
        <v>130.270161</v>
      </c>
    </row>
    <row r="124" spans="2:6" x14ac:dyDescent="0.25">
      <c r="B124" s="59">
        <v>-3.5806451465994602</v>
      </c>
      <c r="C124" s="61">
        <v>130.42209299999999</v>
      </c>
      <c r="D124" s="62">
        <v>130.351471</v>
      </c>
      <c r="E124" s="62">
        <v>130.30802299999999</v>
      </c>
      <c r="F124" s="63">
        <v>130.26986099999999</v>
      </c>
    </row>
    <row r="125" spans="2:6" x14ac:dyDescent="0.25">
      <c r="B125" s="59">
        <v>-2.9838709554995502</v>
      </c>
      <c r="C125" s="61">
        <v>130.42135500000001</v>
      </c>
      <c r="D125" s="62">
        <v>130.351708</v>
      </c>
      <c r="E125" s="62">
        <v>130.30675199999999</v>
      </c>
      <c r="F125" s="63">
        <v>130.268789</v>
      </c>
    </row>
    <row r="126" spans="2:6" x14ac:dyDescent="0.25">
      <c r="B126" s="59">
        <v>-2.3870967643996401</v>
      </c>
      <c r="C126" s="61">
        <v>130.42235099999999</v>
      </c>
      <c r="D126" s="62">
        <v>130.35096799999999</v>
      </c>
      <c r="E126" s="62">
        <v>130.30634900000001</v>
      </c>
      <c r="F126" s="63">
        <v>130.266683</v>
      </c>
    </row>
    <row r="127" spans="2:6" x14ac:dyDescent="0.25">
      <c r="B127" s="59">
        <v>-1.7903225732997301</v>
      </c>
      <c r="C127" s="61">
        <v>130.42066400000002</v>
      </c>
      <c r="D127" s="62">
        <v>130.351024</v>
      </c>
      <c r="E127" s="62">
        <v>130.30453399999999</v>
      </c>
      <c r="F127" s="63">
        <v>130.26396499999998</v>
      </c>
    </row>
    <row r="128" spans="2:6" x14ac:dyDescent="0.25">
      <c r="B128" s="59">
        <v>-1.1935483821998201</v>
      </c>
      <c r="C128" s="61">
        <v>130.420365</v>
      </c>
      <c r="D128" s="62">
        <v>130.35190900000001</v>
      </c>
      <c r="E128" s="62">
        <v>130.30334099999999</v>
      </c>
      <c r="F128" s="63">
        <v>130.262247</v>
      </c>
    </row>
    <row r="129" spans="2:6" x14ac:dyDescent="0.25">
      <c r="B129" s="59">
        <v>-0.59677419109991003</v>
      </c>
      <c r="C129" s="61">
        <v>130.41955200000001</v>
      </c>
      <c r="D129" s="62">
        <v>130.351992</v>
      </c>
      <c r="E129" s="62">
        <v>130.302753</v>
      </c>
      <c r="F129" s="63">
        <v>130.261336</v>
      </c>
    </row>
    <row r="130" spans="2:6" x14ac:dyDescent="0.25">
      <c r="B130" s="59">
        <v>0</v>
      </c>
      <c r="C130" s="61">
        <v>130.41805199999999</v>
      </c>
      <c r="D130" s="62">
        <v>130.351055</v>
      </c>
      <c r="E130" s="62">
        <v>130.30314100000001</v>
      </c>
      <c r="F130" s="63">
        <v>130.261019</v>
      </c>
    </row>
    <row r="131" spans="2:6" x14ac:dyDescent="0.25">
      <c r="B131" s="60">
        <v>0.59677419109991003</v>
      </c>
      <c r="C131" s="64">
        <v>103.392618</v>
      </c>
      <c r="D131" s="65">
        <v>28.544473099999998</v>
      </c>
      <c r="E131" s="65">
        <v>104.659728</v>
      </c>
      <c r="F131" s="66">
        <v>41.300265700000004</v>
      </c>
    </row>
  </sheetData>
  <mergeCells count="2">
    <mergeCell ref="C4:F4"/>
    <mergeCell ref="I4:L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6B743-0BAF-4013-95A5-FE3BD70FE694}">
  <dimension ref="B2:J26"/>
  <sheetViews>
    <sheetView zoomScaleNormal="100" workbookViewId="0">
      <selection activeCell="B2" sqref="B2"/>
    </sheetView>
  </sheetViews>
  <sheetFormatPr defaultRowHeight="15" x14ac:dyDescent="0.25"/>
  <cols>
    <col min="2" max="9" width="10.7109375" style="1" customWidth="1"/>
  </cols>
  <sheetData>
    <row r="2" spans="2:9" x14ac:dyDescent="0.25">
      <c r="B2" s="56" t="s">
        <v>32</v>
      </c>
    </row>
    <row r="4" spans="2:9" ht="15.75" thickBot="1" x14ac:dyDescent="0.3">
      <c r="B4" s="44" t="s">
        <v>21</v>
      </c>
      <c r="C4" s="16" t="s">
        <v>11</v>
      </c>
      <c r="D4" s="7" t="s">
        <v>12</v>
      </c>
      <c r="E4" s="7" t="s">
        <v>8</v>
      </c>
      <c r="F4" s="7" t="s">
        <v>26</v>
      </c>
      <c r="G4" s="7" t="s">
        <v>7</v>
      </c>
      <c r="H4" s="7" t="s">
        <v>6</v>
      </c>
      <c r="I4" s="10" t="s">
        <v>9</v>
      </c>
    </row>
    <row r="5" spans="2:9" ht="15.75" thickTop="1" x14ac:dyDescent="0.25">
      <c r="B5" s="21">
        <v>400</v>
      </c>
      <c r="C5" s="25">
        <v>0</v>
      </c>
      <c r="D5" s="26">
        <v>0</v>
      </c>
      <c r="E5" s="26">
        <v>0</v>
      </c>
      <c r="F5" s="26">
        <v>0</v>
      </c>
      <c r="G5" s="26">
        <v>0</v>
      </c>
      <c r="H5" s="26">
        <v>0</v>
      </c>
      <c r="I5" s="27">
        <v>0</v>
      </c>
    </row>
    <row r="6" spans="2:9" x14ac:dyDescent="0.25">
      <c r="B6" s="21">
        <v>600</v>
      </c>
      <c r="C6" s="25"/>
      <c r="D6" s="26"/>
      <c r="E6" s="26">
        <v>9.5335321984557631E-4</v>
      </c>
      <c r="F6" s="26"/>
      <c r="G6" s="26">
        <v>1.2365254130773939E-3</v>
      </c>
      <c r="H6" s="26">
        <v>4.799334507488151E-4</v>
      </c>
      <c r="I6" s="27">
        <v>1.3420707486638817E-3</v>
      </c>
    </row>
    <row r="7" spans="2:9" x14ac:dyDescent="0.25">
      <c r="B7" s="21">
        <v>800</v>
      </c>
      <c r="C7" s="25">
        <v>1.9925471167474562E-3</v>
      </c>
      <c r="D7" s="26">
        <v>1.9662481511217855E-3</v>
      </c>
      <c r="E7" s="26">
        <v>2.0035829575522079E-3</v>
      </c>
      <c r="F7" s="26">
        <v>-1.7752703280826676E-4</v>
      </c>
      <c r="G7" s="26">
        <v>3.7370220521737441E-3</v>
      </c>
      <c r="H7" s="26">
        <v>7.2000809095318363E-4</v>
      </c>
      <c r="I7" s="27">
        <v>2.1231434673971705E-3</v>
      </c>
    </row>
    <row r="8" spans="2:9" x14ac:dyDescent="0.25">
      <c r="B8" s="21">
        <v>1000</v>
      </c>
      <c r="C8" s="25"/>
      <c r="D8" s="26"/>
      <c r="E8" s="26">
        <v>3.13436799287381E-3</v>
      </c>
      <c r="F8" s="26"/>
      <c r="G8" s="26">
        <v>4.3685867004635837E-3</v>
      </c>
      <c r="H8" s="26">
        <v>9.478199248341701E-4</v>
      </c>
      <c r="I8" s="27">
        <v>1.4433038121326458E-3</v>
      </c>
    </row>
    <row r="9" spans="2:9" x14ac:dyDescent="0.25">
      <c r="B9" s="21">
        <v>1200</v>
      </c>
      <c r="C9" s="25">
        <v>-6.488514150215785E-5</v>
      </c>
      <c r="D9" s="26">
        <v>3.2222106627379787E-3</v>
      </c>
      <c r="E9" s="26">
        <v>1.5814094692135905E-3</v>
      </c>
      <c r="F9" s="26">
        <v>1.3927325176656957E-3</v>
      </c>
      <c r="G9" s="26">
        <v>7.445239578009244E-3</v>
      </c>
      <c r="H9" s="26">
        <v>-2.6177400436155907E-4</v>
      </c>
      <c r="I9" s="27"/>
    </row>
    <row r="10" spans="2:9" x14ac:dyDescent="0.25">
      <c r="B10" s="21">
        <v>1600</v>
      </c>
      <c r="C10" s="25">
        <v>-2.218904691455581E-3</v>
      </c>
      <c r="D10" s="26">
        <v>1.5097676929886061E-3</v>
      </c>
      <c r="E10" s="26">
        <v>-3.6284553538840081E-3</v>
      </c>
      <c r="F10" s="26"/>
      <c r="G10" s="26"/>
      <c r="H10" s="26"/>
      <c r="I10" s="27"/>
    </row>
    <row r="11" spans="2:9" x14ac:dyDescent="0.25">
      <c r="B11" s="21">
        <v>2000</v>
      </c>
      <c r="C11" s="25">
        <v>-5.5365359095593814E-3</v>
      </c>
      <c r="D11" s="26">
        <v>-1.0748774144928586E-3</v>
      </c>
      <c r="E11" s="26">
        <v>-1.0711664134769983E-2</v>
      </c>
      <c r="F11" s="26"/>
      <c r="G11" s="26"/>
      <c r="H11" s="26"/>
      <c r="I11" s="27"/>
    </row>
    <row r="12" spans="2:9" x14ac:dyDescent="0.25">
      <c r="B12" s="21" t="s">
        <v>22</v>
      </c>
      <c r="C12" s="25">
        <v>-1.8188568871775779E-2</v>
      </c>
      <c r="D12" s="26">
        <v>-1.474333030885433E-2</v>
      </c>
      <c r="E12" s="26"/>
      <c r="F12" s="26"/>
      <c r="G12" s="26"/>
      <c r="H12" s="26"/>
      <c r="I12" s="27"/>
    </row>
    <row r="13" spans="2:9" x14ac:dyDescent="0.25">
      <c r="B13" s="21" t="s">
        <v>23</v>
      </c>
      <c r="C13" s="25">
        <v>-1.8188568871775779E-2</v>
      </c>
      <c r="D13" s="26">
        <v>-1.474333030885433E-2</v>
      </c>
      <c r="E13" s="26"/>
      <c r="F13" s="26"/>
      <c r="G13" s="26"/>
      <c r="H13" s="26"/>
      <c r="I13" s="27"/>
    </row>
    <row r="14" spans="2:9" x14ac:dyDescent="0.25">
      <c r="B14" s="21">
        <v>2800</v>
      </c>
      <c r="C14" s="25">
        <v>-2.3205620340451372E-2</v>
      </c>
      <c r="D14" s="26">
        <v>-2.7290239389209492E-2</v>
      </c>
      <c r="E14" s="26"/>
      <c r="F14" s="26"/>
      <c r="G14" s="26"/>
      <c r="H14" s="26"/>
      <c r="I14" s="27"/>
    </row>
    <row r="15" spans="2:9" ht="15.75" thickBot="1" x14ac:dyDescent="0.3">
      <c r="B15" s="22">
        <v>3000</v>
      </c>
      <c r="C15" s="28">
        <v>-2.8180486177262098E-2</v>
      </c>
      <c r="D15" s="20">
        <v>-2.962979349554673E-2</v>
      </c>
      <c r="E15" s="20"/>
      <c r="F15" s="20"/>
      <c r="G15" s="20"/>
      <c r="H15" s="20"/>
      <c r="I15" s="29"/>
    </row>
    <row r="16" spans="2:9" ht="15.75" thickTop="1" x14ac:dyDescent="0.25">
      <c r="B16" s="21">
        <v>-400</v>
      </c>
      <c r="C16" s="25">
        <v>0</v>
      </c>
      <c r="D16" s="26">
        <v>0</v>
      </c>
      <c r="E16" s="26">
        <v>0</v>
      </c>
      <c r="F16" s="26">
        <v>0</v>
      </c>
      <c r="G16" s="26">
        <v>0</v>
      </c>
      <c r="H16" s="26">
        <v>0</v>
      </c>
      <c r="I16" s="27">
        <v>0</v>
      </c>
    </row>
    <row r="17" spans="2:10" x14ac:dyDescent="0.25">
      <c r="B17" s="21">
        <v>-600</v>
      </c>
      <c r="C17" s="25"/>
      <c r="D17" s="26"/>
      <c r="E17" s="26">
        <v>1.3178489468537169E-3</v>
      </c>
      <c r="F17" s="26"/>
      <c r="G17" s="26">
        <v>2.1316850924251174E-3</v>
      </c>
      <c r="H17" s="26">
        <v>1.939885568174371E-3</v>
      </c>
      <c r="I17" s="27">
        <v>1.8879852419282361E-3</v>
      </c>
    </row>
    <row r="18" spans="2:10" x14ac:dyDescent="0.25">
      <c r="B18" s="21">
        <v>-800</v>
      </c>
      <c r="C18" s="25">
        <v>1.533129953507073E-3</v>
      </c>
      <c r="D18" s="26">
        <v>2.0582829966634408E-3</v>
      </c>
      <c r="E18" s="26">
        <v>1.999528828422914E-3</v>
      </c>
      <c r="F18" s="26">
        <v>2.9561770996990866E-3</v>
      </c>
      <c r="G18" s="26">
        <v>3.8757213878878316E-3</v>
      </c>
      <c r="H18" s="26">
        <v>2.6384585331150623E-3</v>
      </c>
      <c r="I18" s="27">
        <v>2.7750231052958707E-3</v>
      </c>
    </row>
    <row r="19" spans="2:10" x14ac:dyDescent="0.25">
      <c r="B19" s="21">
        <v>-1000</v>
      </c>
      <c r="C19" s="25"/>
      <c r="D19" s="26"/>
      <c r="E19" s="26">
        <v>3.528004971579346E-3</v>
      </c>
      <c r="F19" s="26"/>
      <c r="G19" s="26">
        <v>3.1775156806832516E-3</v>
      </c>
      <c r="H19" s="26">
        <v>2.8242212219667939E-3</v>
      </c>
      <c r="I19" s="27">
        <v>2.9414931250465459E-3</v>
      </c>
    </row>
    <row r="20" spans="2:10" x14ac:dyDescent="0.25">
      <c r="B20" s="21">
        <v>-1200</v>
      </c>
      <c r="C20" s="25">
        <v>4.7459004212735412E-4</v>
      </c>
      <c r="D20" s="26">
        <v>2.8274763406510584E-3</v>
      </c>
      <c r="E20" s="26">
        <v>3.6361703471228246E-3</v>
      </c>
      <c r="F20" s="26">
        <v>3.1365254599872161E-3</v>
      </c>
      <c r="G20" s="26">
        <v>2.7518906394227161E-3</v>
      </c>
      <c r="H20" s="26">
        <v>2.7519023040832868E-3</v>
      </c>
      <c r="I20" s="27"/>
    </row>
    <row r="21" spans="2:10" x14ac:dyDescent="0.25">
      <c r="B21" s="21">
        <v>-1600</v>
      </c>
      <c r="C21" s="25">
        <v>8.3395596348800893E-4</v>
      </c>
      <c r="D21" s="26">
        <v>3.7765851835017683E-3</v>
      </c>
      <c r="E21" s="26">
        <v>2.3162603698593243E-3</v>
      </c>
      <c r="F21" s="26"/>
      <c r="G21" s="26"/>
      <c r="H21" s="26"/>
      <c r="I21" s="27"/>
      <c r="J21" s="19"/>
    </row>
    <row r="22" spans="2:10" x14ac:dyDescent="0.25">
      <c r="B22" s="21">
        <v>-2000</v>
      </c>
      <c r="C22" s="25">
        <v>-1.5890866507278778E-3</v>
      </c>
      <c r="D22" s="26">
        <v>3.9178877450039007E-3</v>
      </c>
      <c r="E22" s="26">
        <v>-4.0093954424702538E-4</v>
      </c>
      <c r="F22" s="26"/>
      <c r="G22" s="26"/>
      <c r="H22" s="26"/>
      <c r="I22" s="27"/>
      <c r="J22" s="19"/>
    </row>
    <row r="23" spans="2:10" x14ac:dyDescent="0.25">
      <c r="B23" s="23" t="s">
        <v>24</v>
      </c>
      <c r="C23" s="25">
        <v>-3.654202697345621E-3</v>
      </c>
      <c r="D23" s="26">
        <v>-4.334278988959106E-3</v>
      </c>
      <c r="E23" s="26"/>
      <c r="F23" s="26"/>
      <c r="G23" s="26"/>
      <c r="H23" s="26"/>
      <c r="I23" s="27"/>
      <c r="J23" s="19"/>
    </row>
    <row r="24" spans="2:10" x14ac:dyDescent="0.25">
      <c r="B24" s="23" t="s">
        <v>25</v>
      </c>
      <c r="C24" s="25">
        <v>-3.654202697345621E-3</v>
      </c>
      <c r="D24" s="26">
        <v>-4.334278988959106E-3</v>
      </c>
      <c r="E24" s="26"/>
      <c r="F24" s="26"/>
      <c r="G24" s="26"/>
      <c r="H24" s="26"/>
      <c r="I24" s="27"/>
      <c r="J24" s="19"/>
    </row>
    <row r="25" spans="2:10" x14ac:dyDescent="0.25">
      <c r="B25" s="21">
        <v>-2800</v>
      </c>
      <c r="C25" s="25">
        <v>-6.9427505083252683E-3</v>
      </c>
      <c r="D25" s="26">
        <v>-3.7059654068372083E-3</v>
      </c>
      <c r="E25" s="26"/>
      <c r="F25" s="26"/>
      <c r="G25" s="26"/>
      <c r="H25" s="26"/>
      <c r="I25" s="27"/>
    </row>
    <row r="26" spans="2:10" x14ac:dyDescent="0.25">
      <c r="B26" s="24">
        <v>-3000</v>
      </c>
      <c r="C26" s="30">
        <v>-8.5412358082815887E-3</v>
      </c>
      <c r="D26" s="31">
        <v>-7.3425586147479738E-3</v>
      </c>
      <c r="E26" s="31"/>
      <c r="F26" s="31"/>
      <c r="G26" s="31"/>
      <c r="H26" s="31"/>
      <c r="I26" s="32"/>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D156-A3BD-4754-9F2C-5B75DD1DF9E0}">
  <dimension ref="B2:E22"/>
  <sheetViews>
    <sheetView workbookViewId="0">
      <selection activeCell="L6" sqref="L6"/>
    </sheetView>
  </sheetViews>
  <sheetFormatPr defaultRowHeight="15" x14ac:dyDescent="0.25"/>
  <cols>
    <col min="2" max="2" width="11.42578125" style="1" bestFit="1" customWidth="1"/>
    <col min="3" max="4" width="22" style="1" bestFit="1" customWidth="1"/>
    <col min="5" max="5" width="26.7109375" style="1" bestFit="1" customWidth="1"/>
  </cols>
  <sheetData>
    <row r="2" spans="2:5" ht="18" x14ac:dyDescent="0.35">
      <c r="B2" s="56" t="s">
        <v>50</v>
      </c>
    </row>
    <row r="4" spans="2:5" ht="15.75" thickBot="1" x14ac:dyDescent="0.3">
      <c r="B4" s="44" t="s">
        <v>21</v>
      </c>
      <c r="C4" s="46" t="s">
        <v>11</v>
      </c>
      <c r="D4" s="45" t="s">
        <v>12</v>
      </c>
      <c r="E4" s="47" t="s">
        <v>28</v>
      </c>
    </row>
    <row r="5" spans="2:5" ht="15.75" thickTop="1" x14ac:dyDescent="0.25">
      <c r="B5" s="21">
        <v>-3000</v>
      </c>
      <c r="C5" s="48">
        <v>-1.1935126709728516E-2</v>
      </c>
      <c r="D5" s="49">
        <v>-8.0589487535220883E-3</v>
      </c>
      <c r="E5" s="50">
        <v>-1.9296946249404423E-3</v>
      </c>
    </row>
    <row r="6" spans="2:5" x14ac:dyDescent="0.25">
      <c r="B6" s="21">
        <v>-2800</v>
      </c>
      <c r="C6" s="48">
        <v>-1.0336641409771974E-2</v>
      </c>
      <c r="D6" s="49">
        <v>-4.4223555456112118E-3</v>
      </c>
      <c r="E6" s="50">
        <v>-4.2600235069469028E-3</v>
      </c>
    </row>
    <row r="7" spans="2:5" x14ac:dyDescent="0.25">
      <c r="B7" s="23" t="s">
        <v>25</v>
      </c>
      <c r="C7" s="48">
        <v>-7.0480935987924376E-3</v>
      </c>
      <c r="D7" s="49">
        <v>-5.0506691277332205E-3</v>
      </c>
      <c r="E7" s="50">
        <v>1.0414589069704383E-4</v>
      </c>
    </row>
    <row r="8" spans="2:5" x14ac:dyDescent="0.25">
      <c r="B8" s="23" t="s">
        <v>24</v>
      </c>
      <c r="C8" s="48">
        <v>-3.65420269734551E-3</v>
      </c>
      <c r="D8" s="49">
        <v>-4.334278988959106E-3</v>
      </c>
      <c r="E8" s="50">
        <v>3.0636950905374716E-3</v>
      </c>
    </row>
    <row r="9" spans="2:5" x14ac:dyDescent="0.25">
      <c r="B9" s="21">
        <v>-2000</v>
      </c>
      <c r="C9" s="48">
        <v>-1.5890866507277668E-3</v>
      </c>
      <c r="D9" s="49">
        <v>3.9178877450040117E-3</v>
      </c>
      <c r="E9" s="50">
        <v>-3.9406198321913222E-3</v>
      </c>
    </row>
    <row r="10" spans="2:5" x14ac:dyDescent="0.25">
      <c r="B10" s="21">
        <v>-1600</v>
      </c>
      <c r="C10" s="48">
        <v>8.3395596348800893E-4</v>
      </c>
      <c r="D10" s="49">
        <v>3.7765851835017683E-3</v>
      </c>
      <c r="E10" s="50">
        <v>-1.1153163724441362E-3</v>
      </c>
    </row>
    <row r="11" spans="2:5" x14ac:dyDescent="0.25">
      <c r="B11" s="21">
        <v>-1200</v>
      </c>
      <c r="C11" s="48">
        <v>4.7459004212735412E-4</v>
      </c>
      <c r="D11" s="49">
        <v>2.8274763406510584E-3</v>
      </c>
      <c r="E11" s="50">
        <v>-4.4741432383235691E-4</v>
      </c>
    </row>
    <row r="12" spans="2:5" x14ac:dyDescent="0.25">
      <c r="B12" s="21">
        <v>-800</v>
      </c>
      <c r="C12" s="48">
        <v>1.5331299535071841E-3</v>
      </c>
      <c r="D12" s="49">
        <v>2.0582829966634408E-3</v>
      </c>
      <c r="E12" s="50">
        <v>1.5836875563809139E-3</v>
      </c>
    </row>
    <row r="13" spans="2:5" x14ac:dyDescent="0.25">
      <c r="B13" s="21">
        <v>-400</v>
      </c>
      <c r="C13" s="48">
        <v>0</v>
      </c>
      <c r="D13" s="49">
        <v>0</v>
      </c>
      <c r="E13" s="50">
        <v>2.2094923363778773E-3</v>
      </c>
    </row>
    <row r="14" spans="2:5" x14ac:dyDescent="0.25">
      <c r="B14" s="21">
        <v>400</v>
      </c>
      <c r="C14" s="51">
        <v>0</v>
      </c>
      <c r="D14" s="52">
        <v>0</v>
      </c>
      <c r="E14" s="50">
        <v>1.0868553521644342E-3</v>
      </c>
    </row>
    <row r="15" spans="2:5" x14ac:dyDescent="0.25">
      <c r="B15" s="21">
        <v>800</v>
      </c>
      <c r="C15" s="51">
        <v>1.9925471167473452E-3</v>
      </c>
      <c r="D15" s="52">
        <v>1.9662481511215635E-3</v>
      </c>
      <c r="E15" s="50">
        <v>1.0738200698220124E-3</v>
      </c>
    </row>
    <row r="16" spans="2:5" x14ac:dyDescent="0.25">
      <c r="B16" s="21">
        <v>1200</v>
      </c>
      <c r="C16" s="51">
        <v>-6.4885141502268873E-5</v>
      </c>
      <c r="D16" s="52">
        <v>3.2222106627379787E-3</v>
      </c>
      <c r="E16" s="50">
        <v>-2.5990879321987903E-3</v>
      </c>
    </row>
    <row r="17" spans="2:5" x14ac:dyDescent="0.25">
      <c r="B17" s="21">
        <v>1600</v>
      </c>
      <c r="C17" s="51">
        <v>-2.218904691455692E-3</v>
      </c>
      <c r="D17" s="52">
        <v>1.5097676929884951E-3</v>
      </c>
      <c r="E17" s="50">
        <v>-3.0562736108012134E-3</v>
      </c>
    </row>
    <row r="18" spans="2:5" x14ac:dyDescent="0.25">
      <c r="B18" s="21">
        <v>2000</v>
      </c>
      <c r="C18" s="51">
        <v>-5.5365359095594924E-3</v>
      </c>
      <c r="D18" s="52">
        <v>-1.0748774144928586E-3</v>
      </c>
      <c r="E18" s="50">
        <v>-3.8231231220763606E-3</v>
      </c>
    </row>
    <row r="19" spans="2:5" x14ac:dyDescent="0.25">
      <c r="B19" s="21" t="s">
        <v>22</v>
      </c>
      <c r="C19" s="51">
        <v>-1.8188568871775779E-2</v>
      </c>
      <c r="D19" s="52">
        <v>-1.4743330308854441E-2</v>
      </c>
      <c r="E19" s="50">
        <v>-2.4598675854744789E-3</v>
      </c>
    </row>
    <row r="20" spans="2:5" x14ac:dyDescent="0.25">
      <c r="B20" s="21" t="s">
        <v>23</v>
      </c>
      <c r="C20" s="51">
        <v>-2.4126466753792597E-2</v>
      </c>
      <c r="D20" s="52">
        <v>-1.5496148519745789E-2</v>
      </c>
      <c r="E20" s="50">
        <v>-8.2722295947682822E-3</v>
      </c>
    </row>
    <row r="21" spans="2:5" x14ac:dyDescent="0.25">
      <c r="B21" s="21">
        <v>2800</v>
      </c>
      <c r="C21" s="51">
        <v>-2.914351822246819E-2</v>
      </c>
      <c r="D21" s="52">
        <v>-2.8043057600100951E-2</v>
      </c>
      <c r="E21" s="50">
        <v>4.5246266178042283E-4</v>
      </c>
    </row>
    <row r="22" spans="2:5" x14ac:dyDescent="0.25">
      <c r="B22" s="24">
        <v>3000</v>
      </c>
      <c r="C22" s="53">
        <v>-3.4118384059278917E-2</v>
      </c>
      <c r="D22" s="54">
        <v>-3.0382611706438079E-2</v>
      </c>
      <c r="E22" s="55">
        <v>-2.5086989364556944E-3</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D8CF0-1EB7-40E3-ACD8-3785AB6C912B}">
  <dimension ref="B2:I26"/>
  <sheetViews>
    <sheetView zoomScaleNormal="100" workbookViewId="0">
      <selection activeCell="B2" sqref="B2"/>
    </sheetView>
  </sheetViews>
  <sheetFormatPr defaultRowHeight="15" x14ac:dyDescent="0.25"/>
  <cols>
    <col min="2" max="3" width="11.42578125" style="1" customWidth="1"/>
    <col min="4" max="4" width="13" style="1" customWidth="1"/>
    <col min="5" max="5" width="11.7109375" style="1" customWidth="1"/>
    <col min="6" max="6" width="11.5703125" style="1" customWidth="1"/>
    <col min="7" max="8" width="11.85546875" style="1" customWidth="1"/>
    <col min="9" max="9" width="9.140625" style="1"/>
    <col min="10" max="18" width="9.140625" customWidth="1"/>
  </cols>
  <sheetData>
    <row r="2" spans="2:9" ht="18" x14ac:dyDescent="0.35">
      <c r="B2" t="s">
        <v>48</v>
      </c>
    </row>
    <row r="4" spans="2:9" ht="15.75" thickBot="1" x14ac:dyDescent="0.3">
      <c r="B4" s="44" t="s">
        <v>21</v>
      </c>
      <c r="C4" s="16" t="s">
        <v>11</v>
      </c>
      <c r="D4" s="7" t="s">
        <v>12</v>
      </c>
      <c r="E4" s="7" t="s">
        <v>8</v>
      </c>
      <c r="F4" s="7" t="s">
        <v>26</v>
      </c>
      <c r="G4" s="7" t="s">
        <v>7</v>
      </c>
      <c r="H4" s="7" t="s">
        <v>6</v>
      </c>
      <c r="I4" s="10" t="s">
        <v>27</v>
      </c>
    </row>
    <row r="5" spans="2:9" ht="15.75" thickTop="1" x14ac:dyDescent="0.25">
      <c r="B5" s="21">
        <v>400</v>
      </c>
      <c r="C5" s="35">
        <v>0</v>
      </c>
      <c r="D5" s="36">
        <v>0</v>
      </c>
      <c r="E5" s="36">
        <v>0</v>
      </c>
      <c r="F5" s="36">
        <v>0</v>
      </c>
      <c r="G5" s="36">
        <v>0</v>
      </c>
      <c r="H5" s="36">
        <v>0</v>
      </c>
      <c r="I5" s="37">
        <v>0</v>
      </c>
    </row>
    <row r="6" spans="2:9" x14ac:dyDescent="0.25">
      <c r="B6" s="21">
        <v>600</v>
      </c>
      <c r="C6" s="35"/>
      <c r="D6" s="36"/>
      <c r="E6" s="36">
        <v>4.380652867478485E-2</v>
      </c>
      <c r="F6" s="36"/>
      <c r="G6" s="36">
        <v>1.0871675000001524E-3</v>
      </c>
      <c r="H6" s="36">
        <v>2.0000000000000018E-3</v>
      </c>
      <c r="I6" s="37">
        <v>4.6938212292697568E-3</v>
      </c>
    </row>
    <row r="7" spans="2:9" x14ac:dyDescent="0.25">
      <c r="B7" s="21">
        <v>800</v>
      </c>
      <c r="C7" s="35">
        <v>-6.8500000000000227E-2</v>
      </c>
      <c r="D7" s="36">
        <v>-1.0250000000000092E-2</v>
      </c>
      <c r="E7" s="36">
        <v>2.0935133153920038E-2</v>
      </c>
      <c r="F7" s="36">
        <v>1.2000000000000011E-2</v>
      </c>
      <c r="G7" s="36">
        <v>2.3776650000000066E-2</v>
      </c>
      <c r="H7" s="36">
        <v>2.7974999999999861E-2</v>
      </c>
      <c r="I7" s="37">
        <v>2.6314799716947501E-2</v>
      </c>
    </row>
    <row r="8" spans="2:9" x14ac:dyDescent="0.25">
      <c r="B8" s="21">
        <v>1000</v>
      </c>
      <c r="C8" s="35"/>
      <c r="D8" s="36"/>
      <c r="E8" s="36">
        <v>3.2936452510595071E-2</v>
      </c>
      <c r="F8" s="36"/>
      <c r="G8" s="36">
        <v>3.3907635000000047E-2</v>
      </c>
      <c r="H8" s="36">
        <v>4.1800000000000059E-2</v>
      </c>
      <c r="I8" s="37">
        <v>3.8453734924974725E-2</v>
      </c>
    </row>
    <row r="9" spans="2:9" x14ac:dyDescent="0.25">
      <c r="B9" s="21">
        <v>1200</v>
      </c>
      <c r="C9" s="35">
        <v>-0.13075000000000037</v>
      </c>
      <c r="D9" s="36">
        <v>-7.5000000000002842E-4</v>
      </c>
      <c r="E9" s="36">
        <v>3.935363893642263E-2</v>
      </c>
      <c r="F9" s="36">
        <v>4.2749999999999844E-2</v>
      </c>
      <c r="G9" s="36">
        <v>3.3161750000010315E-4</v>
      </c>
      <c r="H9" s="36">
        <v>4.7399999999999887E-2</v>
      </c>
      <c r="I9" s="37"/>
    </row>
    <row r="10" spans="2:9" x14ac:dyDescent="0.25">
      <c r="B10" s="21">
        <v>1600</v>
      </c>
      <c r="C10" s="35">
        <v>-0.19025000000000025</v>
      </c>
      <c r="D10" s="36">
        <v>2.2500000000000853E-3</v>
      </c>
      <c r="E10" s="36">
        <v>6.4856022925809942E-2</v>
      </c>
      <c r="F10" s="36"/>
      <c r="G10" s="36"/>
      <c r="H10" s="36"/>
      <c r="I10" s="37"/>
    </row>
    <row r="11" spans="2:9" x14ac:dyDescent="0.25">
      <c r="B11" s="21">
        <v>2000</v>
      </c>
      <c r="C11" s="35">
        <v>-0.19175000000000031</v>
      </c>
      <c r="D11" s="36">
        <v>3.0999999999999694E-2</v>
      </c>
      <c r="E11" s="36">
        <v>0.11966169562030493</v>
      </c>
      <c r="F11" s="36"/>
      <c r="G11" s="36"/>
      <c r="H11" s="36"/>
      <c r="I11" s="37"/>
    </row>
    <row r="12" spans="2:9" x14ac:dyDescent="0.25">
      <c r="B12" s="21" t="s">
        <v>22</v>
      </c>
      <c r="C12" s="35">
        <v>-0.23225000000000007</v>
      </c>
      <c r="D12" s="36">
        <v>1.3499999999999845E-2</v>
      </c>
      <c r="E12" s="36"/>
      <c r="F12" s="36"/>
      <c r="G12" s="36"/>
      <c r="H12" s="36"/>
      <c r="I12" s="37"/>
    </row>
    <row r="13" spans="2:9" x14ac:dyDescent="0.25">
      <c r="B13" s="21" t="s">
        <v>23</v>
      </c>
      <c r="C13" s="35">
        <v>-0.23225000000000007</v>
      </c>
      <c r="D13" s="36">
        <v>1.3499999999999845E-2</v>
      </c>
      <c r="E13" s="36"/>
      <c r="F13" s="36"/>
      <c r="G13" s="36"/>
      <c r="H13" s="36"/>
      <c r="I13" s="37"/>
    </row>
    <row r="14" spans="2:9" x14ac:dyDescent="0.25">
      <c r="B14" s="21">
        <v>2800</v>
      </c>
      <c r="C14" s="35">
        <v>-0.17775000000000007</v>
      </c>
      <c r="D14" s="36">
        <v>4.4999999999999707E-2</v>
      </c>
      <c r="E14" s="36"/>
      <c r="F14" s="36"/>
      <c r="G14" s="36"/>
      <c r="H14" s="36"/>
      <c r="I14" s="37"/>
    </row>
    <row r="15" spans="2:9" ht="15.75" thickBot="1" x14ac:dyDescent="0.3">
      <c r="B15" s="22">
        <v>3000</v>
      </c>
      <c r="C15" s="38">
        <v>-0.17500000000000004</v>
      </c>
      <c r="D15" s="39">
        <v>9.6999999999999753E-2</v>
      </c>
      <c r="E15" s="39"/>
      <c r="F15" s="39"/>
      <c r="G15" s="39"/>
      <c r="H15" s="39"/>
      <c r="I15" s="40"/>
    </row>
    <row r="16" spans="2:9" ht="15.75" thickTop="1" x14ac:dyDescent="0.25">
      <c r="B16" s="21">
        <v>-400</v>
      </c>
      <c r="C16" s="35">
        <v>0</v>
      </c>
      <c r="D16" s="36">
        <v>0</v>
      </c>
      <c r="E16" s="36">
        <v>0</v>
      </c>
      <c r="F16" s="36">
        <v>0</v>
      </c>
      <c r="G16" s="36">
        <v>0</v>
      </c>
      <c r="H16" s="36">
        <v>0</v>
      </c>
      <c r="I16" s="37">
        <v>0</v>
      </c>
    </row>
    <row r="17" spans="2:9" x14ac:dyDescent="0.25">
      <c r="B17" s="21">
        <v>-600</v>
      </c>
      <c r="C17" s="35"/>
      <c r="D17" s="36"/>
      <c r="E17" s="36">
        <v>3.7643683102225101E-2</v>
      </c>
      <c r="F17" s="36"/>
      <c r="G17" s="36">
        <v>3.4894425000000506E-3</v>
      </c>
      <c r="H17" s="36">
        <v>-6.4250000000001251E-3</v>
      </c>
      <c r="I17" s="37">
        <v>4.6403659504952177E-3</v>
      </c>
    </row>
    <row r="18" spans="2:9" x14ac:dyDescent="0.25">
      <c r="B18" s="21">
        <v>-800</v>
      </c>
      <c r="C18" s="35">
        <v>-7.5750000000000206E-2</v>
      </c>
      <c r="D18" s="36">
        <v>-6.9999999999998952E-3</v>
      </c>
      <c r="E18" s="36">
        <v>1.8820218580020143E-2</v>
      </c>
      <c r="F18" s="36">
        <v>2.4000000000000021E-2</v>
      </c>
      <c r="G18" s="36">
        <v>1.4708092500000269E-2</v>
      </c>
      <c r="H18" s="36">
        <v>1.2224999999999708E-2</v>
      </c>
      <c r="I18" s="37">
        <v>1.2012017604262626E-2</v>
      </c>
    </row>
    <row r="19" spans="2:9" x14ac:dyDescent="0.25">
      <c r="B19" s="21">
        <v>-1000</v>
      </c>
      <c r="C19" s="35"/>
      <c r="D19" s="36"/>
      <c r="E19" s="36">
        <v>2.9880968821770049E-2</v>
      </c>
      <c r="F19" s="36"/>
      <c r="G19" s="36">
        <v>-1.2549134999999767E-2</v>
      </c>
      <c r="H19" s="36">
        <v>1.5449999999999964E-2</v>
      </c>
      <c r="I19" s="37">
        <v>2.1865882825217398E-2</v>
      </c>
    </row>
    <row r="20" spans="2:9" x14ac:dyDescent="0.25">
      <c r="B20" s="21">
        <v>-1200</v>
      </c>
      <c r="C20" s="35">
        <v>-0.14024999999999999</v>
      </c>
      <c r="D20" s="36">
        <v>-1.5000000000000568E-3</v>
      </c>
      <c r="E20" s="36">
        <v>3.752157224888264E-2</v>
      </c>
      <c r="F20" s="36">
        <v>4.4500000000000206E-2</v>
      </c>
      <c r="G20" s="36">
        <v>-7.3345749999997878E-3</v>
      </c>
      <c r="H20" s="36">
        <v>2.9649999999999732E-2</v>
      </c>
      <c r="I20" s="37"/>
    </row>
    <row r="21" spans="2:9" x14ac:dyDescent="0.25">
      <c r="B21" s="21">
        <v>-1600</v>
      </c>
      <c r="C21" s="35">
        <v>-0.19375000000000009</v>
      </c>
      <c r="D21" s="36">
        <v>1.2750000000000261E-2</v>
      </c>
      <c r="E21" s="36">
        <v>5.9608126757972668E-2</v>
      </c>
      <c r="F21" s="36"/>
      <c r="G21" s="36"/>
      <c r="H21" s="36"/>
      <c r="I21" s="37"/>
    </row>
    <row r="22" spans="2:9" x14ac:dyDescent="0.25">
      <c r="B22" s="21">
        <v>-2000</v>
      </c>
      <c r="C22" s="35">
        <v>-0.2430000000000001</v>
      </c>
      <c r="D22" s="36">
        <v>3.1250000000000222E-2</v>
      </c>
      <c r="E22" s="36">
        <v>9.6270489769162859E-2</v>
      </c>
      <c r="F22" s="36"/>
      <c r="G22" s="36"/>
      <c r="H22" s="36"/>
      <c r="I22" s="37"/>
    </row>
    <row r="23" spans="2:9" x14ac:dyDescent="0.25">
      <c r="B23" s="23" t="s">
        <v>24</v>
      </c>
      <c r="C23" s="35">
        <v>-0.25649999999999995</v>
      </c>
      <c r="D23" s="36">
        <v>2.5000000000000133E-2</v>
      </c>
      <c r="E23" s="36"/>
      <c r="F23" s="36"/>
      <c r="G23" s="36"/>
      <c r="H23" s="36"/>
      <c r="I23" s="37"/>
    </row>
    <row r="24" spans="2:9" x14ac:dyDescent="0.25">
      <c r="B24" s="23" t="s">
        <v>25</v>
      </c>
      <c r="C24" s="35">
        <v>-0.25649999999999995</v>
      </c>
      <c r="D24" s="36">
        <v>2.5000000000000133E-2</v>
      </c>
      <c r="E24" s="36"/>
      <c r="F24" s="36"/>
      <c r="G24" s="36"/>
      <c r="H24" s="36"/>
      <c r="I24" s="37"/>
    </row>
    <row r="25" spans="2:9" x14ac:dyDescent="0.25">
      <c r="B25" s="21">
        <v>-2800</v>
      </c>
      <c r="C25" s="35">
        <v>-0.26049999999999995</v>
      </c>
      <c r="D25" s="36">
        <v>0.12600000000000011</v>
      </c>
      <c r="E25" s="36"/>
      <c r="F25" s="36"/>
      <c r="G25" s="36"/>
      <c r="H25" s="36"/>
      <c r="I25" s="37"/>
    </row>
    <row r="26" spans="2:9" x14ac:dyDescent="0.25">
      <c r="B26" s="24">
        <v>-3000</v>
      </c>
      <c r="C26" s="41">
        <v>-0.24774999999999991</v>
      </c>
      <c r="D26" s="42">
        <v>0.16075000000000017</v>
      </c>
      <c r="E26" s="42"/>
      <c r="F26" s="42"/>
      <c r="G26" s="42"/>
      <c r="H26" s="42"/>
      <c r="I26" s="43"/>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21FA4-88D2-47D5-81F0-4B819346069D}">
  <dimension ref="B2:J26"/>
  <sheetViews>
    <sheetView zoomScaleNormal="100" workbookViewId="0">
      <selection activeCell="L14" sqref="L14"/>
    </sheetView>
  </sheetViews>
  <sheetFormatPr defaultRowHeight="15" x14ac:dyDescent="0.25"/>
  <cols>
    <col min="2" max="3" width="11.42578125" customWidth="1"/>
    <col min="4" max="4" width="13" customWidth="1"/>
    <col min="5" max="5" width="11.7109375" customWidth="1"/>
    <col min="6" max="6" width="11.5703125" customWidth="1"/>
    <col min="7" max="8" width="11.85546875" customWidth="1"/>
    <col min="12" max="19" width="9.140625" customWidth="1"/>
  </cols>
  <sheetData>
    <row r="2" spans="2:10" ht="18" x14ac:dyDescent="0.35">
      <c r="B2" t="s">
        <v>49</v>
      </c>
    </row>
    <row r="4" spans="2:10" ht="15.75" thickBot="1" x14ac:dyDescent="0.3">
      <c r="B4" s="44" t="s">
        <v>21</v>
      </c>
      <c r="C4" s="16" t="s">
        <v>11</v>
      </c>
      <c r="D4" s="7" t="s">
        <v>12</v>
      </c>
      <c r="E4" s="7" t="s">
        <v>8</v>
      </c>
      <c r="F4" s="7" t="s">
        <v>26</v>
      </c>
      <c r="G4" s="7" t="s">
        <v>7</v>
      </c>
      <c r="H4" s="7" t="s">
        <v>6</v>
      </c>
      <c r="I4" s="10" t="s">
        <v>27</v>
      </c>
      <c r="J4" s="11"/>
    </row>
    <row r="5" spans="2:10" ht="15.75" thickTop="1" x14ac:dyDescent="0.25">
      <c r="B5" s="21">
        <v>400</v>
      </c>
      <c r="C5" s="35">
        <v>0</v>
      </c>
      <c r="D5" s="36">
        <v>0</v>
      </c>
      <c r="E5" s="36">
        <v>0</v>
      </c>
      <c r="F5" s="36">
        <v>0</v>
      </c>
      <c r="G5" s="36">
        <v>0</v>
      </c>
      <c r="H5" s="36">
        <v>0</v>
      </c>
      <c r="I5" s="37">
        <v>0</v>
      </c>
      <c r="J5" s="34"/>
    </row>
    <row r="6" spans="2:10" x14ac:dyDescent="0.25">
      <c r="B6" s="21">
        <v>600</v>
      </c>
      <c r="C6" s="35"/>
      <c r="D6" s="36"/>
      <c r="E6" s="36">
        <v>-0.10856109476716824</v>
      </c>
      <c r="F6" s="36"/>
      <c r="G6" s="36">
        <v>1.4288449999995123E-2</v>
      </c>
      <c r="H6" s="36">
        <v>-7.5000000000002842E-3</v>
      </c>
      <c r="I6" s="37">
        <v>-7.7718944120803712E-3</v>
      </c>
      <c r="J6" s="34"/>
    </row>
    <row r="7" spans="2:10" x14ac:dyDescent="0.25">
      <c r="B7" s="21">
        <v>800</v>
      </c>
      <c r="C7" s="35">
        <v>6.4999999999997726E-2</v>
      </c>
      <c r="D7" s="36">
        <v>0.14274999999999238</v>
      </c>
      <c r="E7" s="36">
        <v>-0.17963793372521764</v>
      </c>
      <c r="F7" s="36">
        <v>-0.17824999999999847</v>
      </c>
      <c r="G7" s="36">
        <v>-8.7755200000003697E-2</v>
      </c>
      <c r="H7" s="36">
        <v>9.2500000000001137E-2</v>
      </c>
      <c r="I7" s="37">
        <v>1.1887082757667145E-2</v>
      </c>
      <c r="J7" s="34"/>
    </row>
    <row r="8" spans="2:10" x14ac:dyDescent="0.25">
      <c r="B8" s="21">
        <v>1000</v>
      </c>
      <c r="C8" s="35"/>
      <c r="D8" s="36"/>
      <c r="E8" s="36">
        <v>-0.26471035549574395</v>
      </c>
      <c r="F8" s="36"/>
      <c r="G8" s="36">
        <v>-8.0417900000007592E-2</v>
      </c>
      <c r="H8" s="36">
        <v>0.16000000000000369</v>
      </c>
      <c r="I8" s="37">
        <v>0.11673031212054497</v>
      </c>
      <c r="J8" s="34"/>
    </row>
    <row r="9" spans="2:10" x14ac:dyDescent="0.25">
      <c r="B9" s="21">
        <v>1200</v>
      </c>
      <c r="C9" s="35">
        <v>0.46999999999999886</v>
      </c>
      <c r="D9" s="36">
        <v>0.34899999999999665</v>
      </c>
      <c r="E9" s="36">
        <v>-0.19574064840713845</v>
      </c>
      <c r="F9" s="36">
        <v>0.25224999999999653</v>
      </c>
      <c r="G9" s="36">
        <v>-0.17580622500000942</v>
      </c>
      <c r="H9" s="36">
        <v>0.39750000000000796</v>
      </c>
      <c r="I9" s="37"/>
      <c r="J9" s="34"/>
    </row>
    <row r="10" spans="2:10" x14ac:dyDescent="0.25">
      <c r="B10" s="21">
        <v>1600</v>
      </c>
      <c r="C10" s="35">
        <v>0.71249999999999858</v>
      </c>
      <c r="D10" s="36">
        <v>0.71000000000000085</v>
      </c>
      <c r="E10" s="36">
        <v>6.343587058111666E-3</v>
      </c>
      <c r="F10" s="36"/>
      <c r="G10" s="36"/>
      <c r="H10" s="36"/>
      <c r="I10" s="37"/>
      <c r="J10" s="34"/>
    </row>
    <row r="11" spans="2:10" x14ac:dyDescent="0.25">
      <c r="B11" s="21">
        <v>2000</v>
      </c>
      <c r="C11" s="35">
        <v>1.1499999999999986</v>
      </c>
      <c r="D11" s="36">
        <v>1.1872499999999988</v>
      </c>
      <c r="E11" s="36">
        <v>0.31263440038473078</v>
      </c>
      <c r="F11" s="36"/>
      <c r="G11" s="36"/>
      <c r="H11" s="36"/>
      <c r="I11" s="37"/>
      <c r="J11" s="34"/>
    </row>
    <row r="12" spans="2:10" x14ac:dyDescent="0.25">
      <c r="B12" s="21" t="s">
        <v>22</v>
      </c>
      <c r="C12" s="35">
        <v>2.8400000000000034</v>
      </c>
      <c r="D12" s="36">
        <v>2.9529999999999959</v>
      </c>
      <c r="E12" s="36"/>
      <c r="F12" s="36"/>
      <c r="G12" s="36"/>
      <c r="H12" s="36"/>
      <c r="I12" s="37"/>
      <c r="J12" s="34"/>
    </row>
    <row r="13" spans="2:10" x14ac:dyDescent="0.25">
      <c r="B13" s="21" t="s">
        <v>23</v>
      </c>
      <c r="C13" s="35">
        <v>2.8400000000000034</v>
      </c>
      <c r="D13" s="36">
        <v>2.9529999999999959</v>
      </c>
      <c r="E13" s="36"/>
      <c r="F13" s="36"/>
      <c r="G13" s="36"/>
      <c r="H13" s="36"/>
      <c r="I13" s="37"/>
      <c r="J13" s="34"/>
    </row>
    <row r="14" spans="2:10" x14ac:dyDescent="0.25">
      <c r="B14" s="21">
        <v>2800</v>
      </c>
      <c r="C14" s="35">
        <v>3.7175000000000011</v>
      </c>
      <c r="D14" s="36">
        <v>4.8327499999999972</v>
      </c>
      <c r="E14" s="36"/>
      <c r="F14" s="36"/>
      <c r="G14" s="36"/>
      <c r="H14" s="36"/>
      <c r="I14" s="37"/>
      <c r="J14" s="34"/>
    </row>
    <row r="15" spans="2:10" ht="15.75" thickBot="1" x14ac:dyDescent="0.3">
      <c r="B15" s="22">
        <v>3000</v>
      </c>
      <c r="C15" s="38">
        <v>3.8625000000000114</v>
      </c>
      <c r="D15" s="39">
        <v>5.2702499999999901</v>
      </c>
      <c r="E15" s="39"/>
      <c r="F15" s="39"/>
      <c r="G15" s="39"/>
      <c r="H15" s="39"/>
      <c r="I15" s="40"/>
      <c r="J15" s="34"/>
    </row>
    <row r="16" spans="2:10" ht="15.75" thickTop="1" x14ac:dyDescent="0.25">
      <c r="B16" s="21">
        <v>-400</v>
      </c>
      <c r="C16" s="35">
        <v>0</v>
      </c>
      <c r="D16" s="36">
        <v>0</v>
      </c>
      <c r="E16" s="36">
        <v>0</v>
      </c>
      <c r="F16" s="36">
        <v>0</v>
      </c>
      <c r="G16" s="36">
        <v>0</v>
      </c>
      <c r="H16" s="36">
        <v>0</v>
      </c>
      <c r="I16" s="37">
        <v>0</v>
      </c>
      <c r="J16" s="33"/>
    </row>
    <row r="17" spans="2:10" x14ac:dyDescent="0.25">
      <c r="B17" s="21">
        <v>-600</v>
      </c>
      <c r="C17" s="35"/>
      <c r="D17" s="36"/>
      <c r="E17" s="36">
        <v>-0.14767831228526518</v>
      </c>
      <c r="F17" s="36"/>
      <c r="G17" s="36">
        <v>-6.4171700000002829E-2</v>
      </c>
      <c r="H17" s="36">
        <v>-2.0000000000010232E-2</v>
      </c>
      <c r="I17" s="37">
        <v>-8.0039434954379374E-2</v>
      </c>
      <c r="J17" s="33"/>
    </row>
    <row r="18" spans="2:10" x14ac:dyDescent="0.25">
      <c r="B18" s="21">
        <v>-800</v>
      </c>
      <c r="C18" s="35">
        <v>-7.0000000000000284E-2</v>
      </c>
      <c r="D18" s="36">
        <v>-0.11950000000000216</v>
      </c>
      <c r="E18" s="36">
        <v>-0.21431633514227144</v>
      </c>
      <c r="F18" s="36">
        <v>-6.2500000000085265E-3</v>
      </c>
      <c r="G18" s="36">
        <v>-0.10397175000000658</v>
      </c>
      <c r="H18" s="36">
        <v>3.5000000000003695E-2</v>
      </c>
      <c r="I18" s="37">
        <v>-0.11149950116435292</v>
      </c>
      <c r="J18" s="33"/>
    </row>
    <row r="19" spans="2:10" x14ac:dyDescent="0.25">
      <c r="B19" s="21">
        <v>-1000</v>
      </c>
      <c r="C19" s="35"/>
      <c r="D19" s="36"/>
      <c r="E19" s="36">
        <v>-0.33491518432229128</v>
      </c>
      <c r="F19" s="36"/>
      <c r="G19" s="36">
        <v>1.7087549999992291E-2</v>
      </c>
      <c r="H19" s="36">
        <v>0.13749999999999574</v>
      </c>
      <c r="I19" s="37">
        <v>1.6272835533442276E-2</v>
      </c>
      <c r="J19" s="33"/>
    </row>
    <row r="20" spans="2:10" x14ac:dyDescent="0.25">
      <c r="B20" s="21">
        <v>-1200</v>
      </c>
      <c r="C20" s="35">
        <v>0.20249999999999346</v>
      </c>
      <c r="D20" s="36">
        <v>-3.8000000000010914E-2</v>
      </c>
      <c r="E20" s="36">
        <v>-0.33375530948512022</v>
      </c>
      <c r="F20" s="36">
        <v>6.9749999999991985E-2</v>
      </c>
      <c r="G20" s="36">
        <v>0.14139099999999871</v>
      </c>
      <c r="H20" s="36">
        <v>0.30250000000000199</v>
      </c>
      <c r="I20" s="37"/>
      <c r="J20" s="33"/>
    </row>
    <row r="21" spans="2:10" x14ac:dyDescent="0.25">
      <c r="B21" s="21">
        <v>-1600</v>
      </c>
      <c r="C21" s="35">
        <v>0.29749999999999943</v>
      </c>
      <c r="D21" s="36">
        <v>0.10699999999999932</v>
      </c>
      <c r="E21" s="36">
        <v>-0.33093150212714306</v>
      </c>
      <c r="F21" s="36"/>
      <c r="G21" s="36"/>
      <c r="H21" s="36"/>
      <c r="I21" s="37"/>
      <c r="J21" s="33"/>
    </row>
    <row r="22" spans="2:10" x14ac:dyDescent="0.25">
      <c r="B22" s="21">
        <v>-2000</v>
      </c>
      <c r="C22" s="35">
        <v>0.70000000000000284</v>
      </c>
      <c r="D22" s="36">
        <v>0.36175000000000068</v>
      </c>
      <c r="E22" s="36">
        <v>-0.24424902058569131</v>
      </c>
      <c r="F22" s="36"/>
      <c r="G22" s="36"/>
      <c r="H22" s="36"/>
      <c r="I22" s="37"/>
      <c r="J22" s="33"/>
    </row>
    <row r="23" spans="2:10" x14ac:dyDescent="0.25">
      <c r="B23" s="23" t="s">
        <v>24</v>
      </c>
      <c r="C23" s="35">
        <v>1.2175000000000011</v>
      </c>
      <c r="D23" s="36">
        <v>1.4114999999999966</v>
      </c>
      <c r="E23" s="36"/>
      <c r="F23" s="36"/>
      <c r="G23" s="36"/>
      <c r="H23" s="36"/>
      <c r="I23" s="37"/>
      <c r="J23" s="33"/>
    </row>
    <row r="24" spans="2:10" x14ac:dyDescent="0.25">
      <c r="B24" s="23" t="s">
        <v>25</v>
      </c>
      <c r="C24" s="35">
        <v>1.2175000000000011</v>
      </c>
      <c r="D24" s="36">
        <v>1.4114999999999966</v>
      </c>
      <c r="E24" s="36"/>
      <c r="F24" s="36"/>
      <c r="G24" s="36"/>
      <c r="H24" s="36"/>
      <c r="I24" s="37"/>
      <c r="J24" s="19"/>
    </row>
    <row r="25" spans="2:10" x14ac:dyDescent="0.25">
      <c r="B25" s="21">
        <v>-2800</v>
      </c>
      <c r="C25" s="35">
        <v>1.8175000000000026</v>
      </c>
      <c r="D25" s="36">
        <v>1.8904999999999959</v>
      </c>
      <c r="E25" s="36"/>
      <c r="F25" s="36"/>
      <c r="G25" s="36"/>
      <c r="H25" s="36"/>
      <c r="I25" s="37"/>
      <c r="J25" s="19"/>
    </row>
    <row r="26" spans="2:10" x14ac:dyDescent="0.25">
      <c r="B26" s="24">
        <v>-3000</v>
      </c>
      <c r="C26" s="41">
        <v>2.0375000000000085</v>
      </c>
      <c r="D26" s="42">
        <v>2.4544999999999959</v>
      </c>
      <c r="E26" s="42"/>
      <c r="F26" s="42"/>
      <c r="G26" s="42"/>
      <c r="H26" s="42"/>
      <c r="I26" s="43"/>
      <c r="J26" s="19"/>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Info</vt:lpstr>
      <vt:lpstr>Fig. 3</vt:lpstr>
      <vt:lpstr>Fig. 4</vt:lpstr>
      <vt:lpstr>Fig. 6</vt:lpstr>
      <vt:lpstr>Fig. 7</vt:lpstr>
      <vt:lpstr>Fig. 8</vt:lpstr>
      <vt:lpstr>Fig. 9</vt:lpstr>
      <vt:lpstr>'Fig. 3'!_Hlk129623421</vt:lpstr>
      <vt:lpstr>'Fig. 8'!_Ref129622898</vt:lpstr>
    </vt:vector>
  </TitlesOfParts>
  <Company>VTT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Hällström Jari</dc:creator>
  <cp:lastModifiedBy>Hällström Jari</cp:lastModifiedBy>
  <dcterms:created xsi:type="dcterms:W3CDTF">2023-10-12T13:42:28Z</dcterms:created>
  <dcterms:modified xsi:type="dcterms:W3CDTF">2023-10-12T15:35:00Z</dcterms:modified>
</cp:coreProperties>
</file>